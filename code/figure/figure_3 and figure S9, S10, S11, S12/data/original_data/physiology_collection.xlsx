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proteomics/"/>
    </mc:Choice>
  </mc:AlternateContent>
  <xr:revisionPtr revIDLastSave="0" documentId="13_ncr:1_{0DDDE420-EBCA-C84C-A568-1452BD85F02E}" xr6:coauthVersionLast="47" xr6:coauthVersionMax="47" xr10:uidLastSave="{00000000-0000-0000-0000-000000000000}"/>
  <bookViews>
    <workbookView xWindow="0" yWindow="2360" windowWidth="34480" windowHeight="18700" activeTab="1" xr2:uid="{00000000-000D-0000-FFFF-FFFF00000000}"/>
  </bookViews>
  <sheets>
    <sheet name="Sheet1" sheetId="2" r:id="rId1"/>
    <sheet name="Sheet5" sheetId="9" r:id="rId2"/>
    <sheet name="Sheet4" sheetId="8" r:id="rId3"/>
    <sheet name="Sheet2" sheetId="6" r:id="rId4"/>
    <sheet name="Sheet3" sheetId="7" r:id="rId5"/>
    <sheet name="Supplementary File 1e vip" sheetId="1" r:id="rId6"/>
    <sheet name="cell cycle_kate" sheetId="5" r:id="rId7"/>
  </sheets>
  <definedNames>
    <definedName name="_xlnm._FilterDatabase" localSheetId="0" hidden="1">Sheet1!$B$1:$B$301</definedName>
    <definedName name="_xlnm._FilterDatabase" localSheetId="5" hidden="1">'Supplementary File 1e vip'!$B$1:$B$43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" l="1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1" i="7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2" i="1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C13" i="5"/>
  <c r="D13" i="5"/>
  <c r="E13" i="5"/>
  <c r="F13" i="5"/>
  <c r="G13" i="5"/>
  <c r="B13" i="5"/>
  <c r="AB11" i="5"/>
  <c r="AC11" i="5"/>
  <c r="AD11" i="5"/>
  <c r="AE11" i="5"/>
  <c r="U11" i="5"/>
  <c r="V11" i="5"/>
  <c r="W11" i="5"/>
  <c r="X11" i="5"/>
  <c r="Y11" i="5"/>
  <c r="Z11" i="5"/>
  <c r="AA11" i="5"/>
  <c r="O11" i="5"/>
  <c r="P11" i="5"/>
  <c r="Q11" i="5"/>
  <c r="R11" i="5"/>
  <c r="S11" i="5"/>
  <c r="T11" i="5"/>
  <c r="C11" i="5"/>
  <c r="D11" i="5"/>
  <c r="E11" i="5"/>
  <c r="F11" i="5"/>
  <c r="G11" i="5"/>
  <c r="H11" i="5"/>
  <c r="I11" i="5"/>
  <c r="J11" i="5"/>
  <c r="K11" i="5"/>
  <c r="L11" i="5"/>
  <c r="M11" i="5"/>
  <c r="N11" i="5"/>
  <c r="B11" i="5"/>
</calcChain>
</file>

<file path=xl/sharedStrings.xml><?xml version="1.0" encoding="utf-8"?>
<sst xmlns="http://schemas.openxmlformats.org/spreadsheetml/2006/main" count="3645" uniqueCount="528">
  <si>
    <t>sample</t>
  </si>
  <si>
    <t>qGlucose (mmol/gDW h)</t>
  </si>
  <si>
    <t>qNH4 (mmol/gDW h)</t>
  </si>
  <si>
    <t>qGln (mmol/gDW h)</t>
  </si>
  <si>
    <t>qPhe (mmol/gDW h)</t>
  </si>
  <si>
    <t>qIle (mmol/gDW h)</t>
  </si>
  <si>
    <t>qNitrogen (mmol/gDW h)</t>
  </si>
  <si>
    <t>qEtOH (mmol/gDW h)</t>
  </si>
  <si>
    <t>qAce (mmol/gDW h)</t>
  </si>
  <si>
    <t>qPyr (mmol/gDW h)</t>
  </si>
  <si>
    <t>qSuc (mmol/gDW h)</t>
  </si>
  <si>
    <t>qGlycerol (mmol/gDW h)</t>
  </si>
  <si>
    <t>qCO2 (mmol/gDW h)</t>
  </si>
  <si>
    <t>qO2 (mmol/gDW h)</t>
  </si>
  <si>
    <t>mmol/gDW_carl</t>
  </si>
  <si>
    <t>prot.1</t>
  </si>
  <si>
    <t>prot.2</t>
  </si>
  <si>
    <t>prot.3</t>
  </si>
  <si>
    <t>prot.4</t>
  </si>
  <si>
    <t>prot.5</t>
  </si>
  <si>
    <t>prot.6</t>
  </si>
  <si>
    <t>prot.7</t>
  </si>
  <si>
    <t>prot.8</t>
  </si>
  <si>
    <t>prot.9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</si>
  <si>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</si>
  <si>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</si>
  <si>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</si>
  <si>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</si>
  <si>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</si>
  <si>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</si>
  <si>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</si>
  <si>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</si>
  <si>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</si>
  <si>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</si>
  <si>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</si>
  <si>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</si>
  <si>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</si>
  <si>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</si>
  <si>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</si>
  <si>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</si>
  <si>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</si>
  <si>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</si>
  <si>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</si>
  <si>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</si>
  <si>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</si>
  <si>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</si>
  <si>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</si>
  <si>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</si>
  <si>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</si>
  <si>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</si>
  <si>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</si>
  <si>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</si>
  <si>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</si>
  <si>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</si>
  <si>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prot.40</t>
  </si>
  <si>
    <t>prot.41</t>
  </si>
  <si>
    <t>prot.42</t>
  </si>
  <si>
    <t>mmol/gDW_Tyler_D0.1</t>
  </si>
  <si>
    <t>Min_ave_aerobic(mmol/gDW)</t>
  </si>
  <si>
    <t>Rich_ave_aerobic(mmol/gDW)</t>
  </si>
  <si>
    <t>Min_ave_anaerobic(mmol/gDW)</t>
  </si>
  <si>
    <t>Rich_ave_anaerobic(mmol/gDW)</t>
  </si>
  <si>
    <t>mean_REF_CN4_D=0.1</t>
  </si>
  <si>
    <t>mean_CN22_D=0.1</t>
  </si>
  <si>
    <t>mean_CN38_D=0.1</t>
  </si>
  <si>
    <t>mean_CN75_D=0.1</t>
  </si>
  <si>
    <t>FG_rep1_CN4_D= 0.26 or 0.32</t>
  </si>
  <si>
    <t>FG_rep2_CN4_D= 0.26 or 0.32</t>
  </si>
  <si>
    <t>FG_rep3_CN4_D= 0.26 or 0.32</t>
  </si>
  <si>
    <t>FG_rep4_CN4_D= 0.26 or 0.32</t>
  </si>
  <si>
    <t xml:space="preserve">Ghaemmaghami et al. 2003 - Copy </t>
  </si>
  <si>
    <t>Kulak et al. 2014 - Copy</t>
  </si>
  <si>
    <t>Mean Copy number - Glucose</t>
  </si>
  <si>
    <t>Mean Copy number - Galactose</t>
  </si>
  <si>
    <t>Mean Copy number - Glycerol</t>
  </si>
  <si>
    <t>D=0.044_M</t>
  </si>
  <si>
    <t>D=0.102_M</t>
  </si>
  <si>
    <t>D=0.152_M</t>
  </si>
  <si>
    <t>D=0.214_M</t>
  </si>
  <si>
    <t>D=0.254_M</t>
  </si>
  <si>
    <t>D=0.284_M</t>
  </si>
  <si>
    <t>D=0.334_M</t>
  </si>
  <si>
    <t>D=0.379_M</t>
  </si>
  <si>
    <t>Nitrogen source</t>
  </si>
  <si>
    <t>dilution rate (/h)</t>
  </si>
  <si>
    <t>glucose.H2O concentration (g/L)</t>
  </si>
  <si>
    <t>nitrogen source concentration (g/L)</t>
  </si>
  <si>
    <t>limiting nutrient</t>
  </si>
  <si>
    <t>C/N ratio</t>
  </si>
  <si>
    <t>experiment subset</t>
  </si>
  <si>
    <t>total RNA content (g/gDW)</t>
  </si>
  <si>
    <t>total protein content (g/gDW)</t>
  </si>
  <si>
    <t>extra notes</t>
  </si>
  <si>
    <t>NH4</t>
  </si>
  <si>
    <t>N</t>
  </si>
  <si>
    <t>GR</t>
  </si>
  <si>
    <t>C</t>
  </si>
  <si>
    <t>NM</t>
  </si>
  <si>
    <t>GR, NM</t>
  </si>
  <si>
    <t>Gln</t>
  </si>
  <si>
    <t>labeled "Q" or "Gln"</t>
  </si>
  <si>
    <t>labeled "Q*" or "Gln*"</t>
  </si>
  <si>
    <t>Phe</t>
  </si>
  <si>
    <t>Ile</t>
  </si>
  <si>
    <t>D=0.027_M</t>
  </si>
  <si>
    <t>source</t>
  </si>
  <si>
    <t>REF</t>
  </si>
  <si>
    <t>EtOH  20g/L</t>
  </si>
  <si>
    <t>EtOH  40g/L</t>
  </si>
  <si>
    <t>EtOH  60g/L</t>
  </si>
  <si>
    <t>Osmo 0.2 M (NaCl)</t>
  </si>
  <si>
    <t>Osmo 0.4 M (NaCl)</t>
  </si>
  <si>
    <t>Osmo 0.6 M (NaCl)</t>
  </si>
  <si>
    <t>Temp 33C</t>
  </si>
  <si>
    <t>Temp 36C</t>
  </si>
  <si>
    <t>Temp 38C</t>
  </si>
  <si>
    <t>maltose(mmol/gDW)</t>
  </si>
  <si>
    <t>oleate(mmol/gDW)</t>
  </si>
  <si>
    <t>fructose(mmol/gDW)</t>
  </si>
  <si>
    <t>sucrose(mmol/gDW)</t>
  </si>
  <si>
    <t>trehalose(mmol/gDW)</t>
  </si>
  <si>
    <t>lactate(mmol/gDW)</t>
  </si>
  <si>
    <t>acetate(mmol/gDW)</t>
  </si>
  <si>
    <t>pryuvate(mmol/gDW)</t>
  </si>
  <si>
    <t>glycerol(mmol/gDW)</t>
  </si>
  <si>
    <t>galactose(mmol/gDW)</t>
  </si>
  <si>
    <t>raffinose(mmol/gDW)</t>
  </si>
  <si>
    <t>growth_mode</t>
  </si>
  <si>
    <t>batch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</si>
  <si>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</si>
  <si>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</si>
  <si>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</si>
  <si>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</si>
  <si>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</si>
  <si>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</si>
  <si>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</si>
  <si>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</si>
  <si>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</si>
  <si>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</si>
  <si>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</si>
  <si>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</si>
  <si>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</si>
  <si>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</si>
  <si>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</si>
  <si>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</si>
  <si>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</si>
  <si>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</si>
  <si>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</si>
  <si>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</si>
  <si>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</si>
  <si>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</si>
  <si>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</si>
  <si>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</si>
  <si>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</si>
  <si>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</si>
  <si>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</si>
  <si>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</si>
  <si>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</si>
  <si>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</si>
  <si>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C-lim rep1 prot (fmol mgDW-1)</t>
  </si>
  <si>
    <t>C-lim rep2 prot (fmol mgDW-1)</t>
  </si>
  <si>
    <t>C/N=115 rep1 prot (fmol mgDW-1)</t>
  </si>
  <si>
    <t>C/N=115 rep2 prot (fmol mgDW-1)</t>
  </si>
  <si>
    <t>C/N=30 rep1 prot (fmol mgDW-1)</t>
  </si>
  <si>
    <t>C/N=30 rep2 prot (fmol mgDW-1)</t>
  </si>
  <si>
    <t>C/N=50 rep1 prot (fmol mgDW-1)</t>
  </si>
  <si>
    <t>C/N=50 rep2 prot (fmol mgDW-1)</t>
  </si>
  <si>
    <t>chemostat</t>
  </si>
  <si>
    <t>Simultation_with_ETFL</t>
  </si>
  <si>
    <t>NO</t>
  </si>
  <si>
    <t>YES</t>
  </si>
  <si>
    <t>growth_media</t>
  </si>
  <si>
    <t xml:space="preserve">minimal mineral medium </t>
  </si>
  <si>
    <t xml:space="preserve">minimal mineral medium with the addition of the following amino acids: 0.19 g/L L-arginine; 0.4 g/L L-aspartate; 1.26 g/L L-glutamate; 0.13 g/L L-glycine; 0.14 g/L L-histidine; 0.29 g/L L-isoleucine; 0.4 g/L L-leucine; 0.44 g/L L-lysine; 0.108 g/L L-methionine; 0.2 g/L L-phenylalanine; 0.22 g/L L-threonine; 0.04 g/L L-tryptophan; 0.052 g/L L-tyro- sine; 0.38 g/L L-valine. </t>
  </si>
  <si>
    <t>minimal mineral medium；additionally contained 0.0104 g/L ergosterol and 0.42 g/L Tween80 that had been dissolved in pure ethanol. Subsequently, medium used for anaerobic conditions contained 2.85 g/L ethanol</t>
  </si>
  <si>
    <t>minimal mineral medium with the addition of the following amino acids: 0.19 g/L L-arginine; 0.4 g/L L-aspartate; 1.26 g/L L-glutamate; 0.13 g/L L-glycine; 0.14 g/L L-histidine; 0.29 g/L L-isoleucine; 0.4 g/L L-leucine; 0.44 g/L L-lysine; 0.108 g/L L-methionine; 0.2 g/L L-phenylalanine; 0.22 g/L L-threonine; 0.04 g/L L-tryptophan; 0.052 g/L L-tyro- sine; 0.38 g/L L-valine. additionally contained 0.0104 g/L ergosterol and 0.42 g/L Tween80 that had been dissolved in pure ethanol. Subsequently, medium used for anaerobic conditions contained 2.85 g/L ethanol</t>
  </si>
  <si>
    <t>Trehalose_1_miu=0.052</t>
  </si>
  <si>
    <t>Trehalose_2_miu=0.051</t>
  </si>
  <si>
    <t>Trehalose_b1_miu=0.048</t>
  </si>
  <si>
    <t>Trehalose_b2_miu=0.047</t>
  </si>
  <si>
    <t>Galactose_miu=0.165</t>
  </si>
  <si>
    <t>Galactose_b_miu=0.182</t>
  </si>
  <si>
    <t>Maltose_miu=0.275</t>
  </si>
  <si>
    <t>Maltose_b_miu=0.291</t>
  </si>
  <si>
    <t>Glucose_miu=0.373</t>
  </si>
  <si>
    <t>Glucose_b_miu=0.369</t>
  </si>
  <si>
    <t>translation_inhibitor_miu=0.121</t>
  </si>
  <si>
    <t>translation_inhibitor.1_miu=0.106</t>
  </si>
  <si>
    <t>translation_inhibitor.2_miu=0.2</t>
  </si>
  <si>
    <t>translation_inhibitor.3_miu=0.201</t>
  </si>
  <si>
    <t>translation_inhibitor.4_miu=0.327</t>
  </si>
  <si>
    <t>translation_inhibitor.5_miu=0.318</t>
  </si>
  <si>
    <t>translation_inhibitor.6_miu=0.421</t>
  </si>
  <si>
    <t>translation_inhibitor.7_miu=0.399</t>
  </si>
  <si>
    <t>Chemostats_C_limit_miu=0.196</t>
  </si>
  <si>
    <t>Chemostats_C_limit.1_miu=0.202</t>
  </si>
  <si>
    <t>Chemostats_C_limit.2_miu=0.229</t>
  </si>
  <si>
    <t>Chemostats_C_limit.3_miu=0.225</t>
  </si>
  <si>
    <t>Chemostats_C_limit.4_miu=0.268</t>
  </si>
  <si>
    <t>Chemostats_C_limit.5_miu=0.273</t>
  </si>
  <si>
    <t>Chemostats_C_limit.6_miu=0.303</t>
  </si>
  <si>
    <t>Chemostats_C_limit.7_miu=0.302</t>
  </si>
  <si>
    <t>Chemostats_C_limit.8_miu=0.3</t>
  </si>
  <si>
    <t>Chemostats_C_limit.9_miu=0.301</t>
  </si>
  <si>
    <t>Chemostats_C_limit.10_miu=0.316</t>
  </si>
  <si>
    <t>Chemostats_C_limit.11_miu=0.32</t>
  </si>
  <si>
    <t>Chemostats_C_limit.12_miu=0.337</t>
  </si>
  <si>
    <t>Chemostats_C_limit.13_miu=0.34</t>
  </si>
  <si>
    <t>Ibrahim E. Elsemman</t>
  </si>
  <si>
    <r>
      <t xml:space="preserve">The yeast minimal media was comprised of yeast nitrogenous base with amino acids, ammonium sulfate, and the appropriate carbon </t>
    </r>
    <r>
      <rPr>
        <b/>
        <sz val="12"/>
        <rFont val="Calibri"/>
        <family val="2"/>
        <scheme val="minor"/>
      </rPr>
      <t>source, which containing either 2% glucose, 2% maltose, 0.125% oleate, 2% fructose, 2% sucrose, 2% trehalose, 2% lactate, 2% acetate, 2% pyruvate and 2% glycerol as the carbon source.</t>
    </r>
  </si>
  <si>
    <t>sce_FY4_batch_miu=0.255</t>
  </si>
  <si>
    <t>sce_FY4_P1_miu=0.08</t>
  </si>
  <si>
    <t>sce_FY4_P2_miu=0.16</t>
  </si>
  <si>
    <t>sce_FY4_P3_miu=0.22</t>
  </si>
  <si>
    <t>sce_FY4_P4_miu=0.28</t>
  </si>
  <si>
    <t>sce_FY4_N1_miu=0.08</t>
  </si>
  <si>
    <t>sce_FY4_N2_miu=0.16</t>
  </si>
  <si>
    <t>sce_FY4_N3_miu=0.22</t>
  </si>
  <si>
    <t>sce_FY4_N4_miu=0.28</t>
  </si>
  <si>
    <t>sce_FY4_C1_miu=0.08</t>
  </si>
  <si>
    <t>sce_FY4_C2_miu=0.16</t>
  </si>
  <si>
    <t>sce_FY4_C3_miu=0.22</t>
  </si>
  <si>
    <t>sce_FY4_C4_miu=0.28</t>
  </si>
  <si>
    <t>sce_CEN.PK_batch_miu=0.391</t>
  </si>
  <si>
    <t>sce_CEN.PK_glucose + O2_1</t>
  </si>
  <si>
    <t>sce_CEN.PK_glucose + O2_2</t>
  </si>
  <si>
    <t>sce_CEN.PK_glucose + O2_3</t>
  </si>
  <si>
    <t>sce_CEN.PK_glucose - O2_1</t>
  </si>
  <si>
    <t>sce_CEN.PK_glucose - O2_2</t>
  </si>
  <si>
    <t>sce_CEN.PK_glucose - O2_3</t>
  </si>
  <si>
    <t>sce_CEN.PK_glucose + antimycin_1</t>
  </si>
  <si>
    <t>sce_CEN.PK_glucose + antimycin_2</t>
  </si>
  <si>
    <t>Mean molecules per cell</t>
  </si>
  <si>
    <t>Median molecules per cell</t>
  </si>
  <si>
    <t>LU_ref</t>
  </si>
  <si>
    <t>PENG_ref</t>
  </si>
  <si>
    <t>KUL_ref</t>
  </si>
  <si>
    <t>LAW_ref</t>
  </si>
  <si>
    <t>LAHT_ref</t>
  </si>
  <si>
    <t>DGD_ref</t>
  </si>
  <si>
    <t>LEE2_ref</t>
  </si>
  <si>
    <t>THAK_ref</t>
  </si>
  <si>
    <t>NAG_ref</t>
  </si>
  <si>
    <t>PIC_ref</t>
  </si>
  <si>
    <t>WEB_ref</t>
  </si>
  <si>
    <t>TKA_ref</t>
  </si>
  <si>
    <t>BRE_ref</t>
  </si>
  <si>
    <t>DEN_ref</t>
  </si>
  <si>
    <t>MAZ_ref</t>
  </si>
  <si>
    <t>CHO_ref</t>
  </si>
  <si>
    <t>YOF_ref</t>
  </si>
  <si>
    <t>NEW_ref</t>
  </si>
  <si>
    <t>LEE_ref</t>
  </si>
  <si>
    <t>DAV_ref</t>
  </si>
  <si>
    <t>GHA_ref</t>
  </si>
  <si>
    <t>BRE</t>
  </si>
  <si>
    <t>BRE_DTT_a</t>
  </si>
  <si>
    <t>BRE_H2O2_b</t>
  </si>
  <si>
    <t>BRE_- N_c</t>
  </si>
  <si>
    <t>CHO</t>
  </si>
  <si>
    <t>CHO_HU_d</t>
  </si>
  <si>
    <t>CHO_Rapamycin_e</t>
  </si>
  <si>
    <t>DAV</t>
  </si>
  <si>
    <t>DAV_Quiescence_f</t>
  </si>
  <si>
    <t>DEN</t>
  </si>
  <si>
    <t>DEN_MMS_g</t>
  </si>
  <si>
    <t>MAZ</t>
  </si>
  <si>
    <t>MAZ_MMS_h</t>
  </si>
  <si>
    <t>LEE</t>
  </si>
  <si>
    <t>LEE_MMS_i</t>
  </si>
  <si>
    <t>TKA</t>
  </si>
  <si>
    <t>TKA_HU_j</t>
  </si>
  <si>
    <t>TKA_MMS_k</t>
  </si>
  <si>
    <t>Yihui Shen</t>
  </si>
  <si>
    <t>Strain</t>
  </si>
  <si>
    <t>Ref</t>
  </si>
  <si>
    <t>IO_SD108_batch_miu=0.52</t>
  </si>
  <si>
    <t>IO_SD108_C1_miu=0.12</t>
  </si>
  <si>
    <t>IO_SD108_C2_miu=0.18</t>
  </si>
  <si>
    <t>IO_SD108_C3_miu=0.23</t>
  </si>
  <si>
    <t>IO_SD108_C4_miu=0.34</t>
  </si>
  <si>
    <t>IO_SD108_C5_miu=0.45</t>
  </si>
  <si>
    <t>IO_SD108_N1_miu=0.12</t>
  </si>
  <si>
    <t>IO_SD108_N2_miu=0.18</t>
  </si>
  <si>
    <t>IO_SD108_N3_miu=0.23</t>
  </si>
  <si>
    <t>IO_SD108_N4_miu=0.34</t>
  </si>
  <si>
    <t>IO_SD108_N5_miu=0.45</t>
  </si>
  <si>
    <t>IO_SD108_P1_miu=0.12</t>
  </si>
  <si>
    <t>IO_SD108_P2_miu=0.18</t>
  </si>
  <si>
    <t>IO_SD108_P3_miu=0.23</t>
  </si>
  <si>
    <t>IO_SD108_P4_miu=0.34</t>
  </si>
  <si>
    <t>IO_SD108_P5_miu=0.45</t>
  </si>
  <si>
    <t>IO_SD108_glucose + O2_1</t>
  </si>
  <si>
    <t>IO_SD108_glucose + O2_2</t>
  </si>
  <si>
    <t>IO_SD108_glucose + O2_3</t>
  </si>
  <si>
    <t>IO_SD108_glucose - O2_1</t>
  </si>
  <si>
    <t>IO_SD108_glucose - O2_2</t>
  </si>
  <si>
    <t>IO_SD108_glucose - O2_3</t>
  </si>
  <si>
    <t>IO_SD108_glucose + antimycin_1</t>
  </si>
  <si>
    <t>IO_SD108_glucose + antimycin_2</t>
  </si>
  <si>
    <t>IO_SD108_glucose + antimycin_3</t>
  </si>
  <si>
    <t>S. cerevisiae</t>
  </si>
  <si>
    <t>I. orientalis</t>
  </si>
  <si>
    <t>None</t>
  </si>
  <si>
    <t>Brandon Ho</t>
  </si>
  <si>
    <t>https://doi.org/10.1016/j.cels.2017.12.004</t>
  </si>
  <si>
    <t>https://doi.org/10.1038/s41589-024-01571-y</t>
  </si>
  <si>
    <t xml:space="preserve">https://doi.org/10.1038/s41467-022-28467-6 </t>
  </si>
  <si>
    <t>https://doi.org/10.1101/2020.02.20.957662</t>
  </si>
  <si>
    <t>Rahul Kumar</t>
  </si>
  <si>
    <t>https://doi.org/10.1073/pnas.2112836118</t>
  </si>
  <si>
    <t>Sample</t>
  </si>
  <si>
    <t>Biological replicate</t>
  </si>
  <si>
    <t>Time after arrest and release (minutes)</t>
  </si>
  <si>
    <t>Time point</t>
  </si>
  <si>
    <t>% G1 in population</t>
  </si>
  <si>
    <t>% S in population</t>
  </si>
  <si>
    <t>% G2/M in population</t>
  </si>
  <si>
    <t xml:space="preserve">Assigned cell cycle phase </t>
  </si>
  <si>
    <t>G1</t>
  </si>
  <si>
    <t>S</t>
  </si>
  <si>
    <t>G2/M</t>
  </si>
  <si>
    <t>www.pnas.org/cgi/doi/10.1073/pnas.1919535117</t>
  </si>
  <si>
    <t>https://doi.org/10.1038/s41467-020-15749-0</t>
  </si>
  <si>
    <t>https://doi.org/10.7554/eLife.65722</t>
  </si>
  <si>
    <t>www.pnas.org/cgi/doi/10.1073/pnas.1918216117</t>
  </si>
  <si>
    <t>www.pnas.org/cgi/doi/10.1073/pnas.1921890117</t>
  </si>
  <si>
    <t>https://doi.org/10.1038/s41467-022-30513-2</t>
  </si>
  <si>
    <t>http://dx.doi.org/10.1016/j.cels.2017.03.003</t>
  </si>
  <si>
    <t>Joao A Paulo</t>
  </si>
  <si>
    <t>https://doi.org/10.1016/j.jprot.2016.07.005</t>
  </si>
  <si>
    <t>https://doi.org/10.1091/mbc.E15-07-0499</t>
  </si>
  <si>
    <t>http://dx.doi.org/10.1016/j.celrep.2017.06.014</t>
  </si>
  <si>
    <t>Marcel Morgenstern</t>
  </si>
  <si>
    <t>Sina Ghaemmaghami</t>
  </si>
  <si>
    <t>https://www.nature.com/articles/nature02046</t>
  </si>
  <si>
    <t>https://www.nature.com/articles/nmeth.2834</t>
  </si>
  <si>
    <t>Nils A Kulak</t>
  </si>
  <si>
    <t>doi: 10.1038/s41467-020-16073-3</t>
  </si>
  <si>
    <t>S. cerevisiae  CEN.PK113-7D Dlys1::KANMX</t>
  </si>
  <si>
    <t>Delft minimal medium</t>
  </si>
  <si>
    <t>@</t>
  </si>
  <si>
    <t>min</t>
  </si>
  <si>
    <t>cell_cycle@</t>
  </si>
  <si>
    <t>cell_cycle@G1@2min</t>
  </si>
  <si>
    <t>cell_cycle@G1@5min</t>
  </si>
  <si>
    <t>cell_cycle@S@37min</t>
  </si>
  <si>
    <t>cell_cycle@S@40min</t>
  </si>
  <si>
    <t>cell_cycle@G2/M@60min</t>
  </si>
  <si>
    <t>cell_cycle@G2/M@68min</t>
  </si>
  <si>
    <t>cell_cycle@G1@93min</t>
  </si>
  <si>
    <t>cell_cycle@S@109min</t>
  </si>
  <si>
    <t>cell_cycle@S@115min</t>
  </si>
  <si>
    <t>cell_cycle@S@103min</t>
  </si>
  <si>
    <t>cell_cycle@G2/M@138min</t>
  </si>
  <si>
    <t>cell_cycle@G1@158min</t>
  </si>
  <si>
    <t>S. cerevisiae CEN.PK113-7D MitoLoc</t>
  </si>
  <si>
    <t>S. cerevisiae  (MATa, MAL2-8c, SUC2)</t>
  </si>
  <si>
    <t>_limit</t>
  </si>
  <si>
    <t>miu=</t>
  </si>
  <si>
    <t>C_N_ratio=</t>
  </si>
  <si>
    <t>miu=0.05@NH4@N_limit@C_N_ratio=30</t>
  </si>
  <si>
    <t>miu=0.1@NH4@C_limit@C_N_ratio=3</t>
  </si>
  <si>
    <t>miu=0.1@NH4@N_limit@C_N_ratio=30</t>
  </si>
  <si>
    <t>miu=0.13@NH4@N_limit@C_N_ratio=30</t>
  </si>
  <si>
    <t>miu=0.18@NH4@N_limit@C_N_ratio=30</t>
  </si>
  <si>
    <t>miu=0.3@NH4@N_limit@C_N_ratio=30</t>
  </si>
  <si>
    <t>miu=0.35@NH4@N_limit@C_N_ratio=30</t>
  </si>
  <si>
    <t>miu=0.1@Gln@C_limit@C_N_ratio=5</t>
  </si>
  <si>
    <t>miu=0.1@Gln@C_limit@C_N_ratio=3</t>
  </si>
  <si>
    <t>miu=0.1@Gln@N_limit@C_N_ratio=30</t>
  </si>
  <si>
    <t>miu=0.1@Phe@C_limit@C_N_ratio=3</t>
  </si>
  <si>
    <t>miu=0.1@Phe@N_limit@C_N_ratio=30</t>
  </si>
  <si>
    <t>miu=0.1@Ile@C_limit@C_N_ratio=3</t>
  </si>
  <si>
    <t>miu=0.1@Ile@N_limit@C_N_ratio=30</t>
  </si>
  <si>
    <t>IO_SD108_glucose + O2</t>
  </si>
  <si>
    <t>IO_SD108_glucose - O2</t>
  </si>
  <si>
    <t>IO_SD108_glucose + antimycin</t>
  </si>
  <si>
    <t>sce_CEN.PK_glucose + antimycin</t>
  </si>
  <si>
    <t>sce_CEN.PK_glucose - O2</t>
  </si>
  <si>
    <t>sce_CEN.PK_glucose + O2</t>
  </si>
  <si>
    <t>miu=0.2@NH4@N_limit@C_N_ratio=30</t>
  </si>
  <si>
    <t>miu=0.2@NH4@N_limit@C_N_ratio=50</t>
  </si>
  <si>
    <t>miu=0.2@NH4@N_limit@C_N_ratio=115</t>
  </si>
  <si>
    <t>miu=0.2@NH4@C_limit@C_N_ratio=3</t>
  </si>
  <si>
    <t>Glucose_phase_rep1(g/gDW)</t>
  </si>
  <si>
    <t>Glucose_phase_rep2(g/gDW)</t>
  </si>
  <si>
    <t>Glucose_phase_rep3(g/gDW)</t>
  </si>
  <si>
    <t>Diauxic_shift_rep1(g/gDW)</t>
  </si>
  <si>
    <t>Diauxic_shift_rep2(g/gDW)</t>
  </si>
  <si>
    <t>Diauxic_shift_rep3(g/gDW)</t>
  </si>
  <si>
    <t>Ethanol_phase_rep1(g/gDW)</t>
  </si>
  <si>
    <t>Ethanol_phase_rep2(g/gDW)</t>
  </si>
  <si>
    <t>Ethanol_phase_rep3(g/gDW)</t>
  </si>
  <si>
    <t>Glucose_phase</t>
  </si>
  <si>
    <t>Diauxic_shift</t>
  </si>
  <si>
    <t>Ethanol_phase</t>
  </si>
  <si>
    <t>https://doi.org/10.1038/s41467-022-30513-5</t>
  </si>
  <si>
    <t>https://doi.org/10.1038/s41467-022-30513-8</t>
  </si>
  <si>
    <t>https://doi.org/10.1038/s41467-022-30513-11</t>
  </si>
  <si>
    <t>https://doi.org/10.1038/s41467-022-30513-14</t>
  </si>
  <si>
    <t>https://doi.org/10.1038/s41467-022-30513-17</t>
  </si>
  <si>
    <t>https://doi.org/10.1038/s41467-022-30513-20</t>
  </si>
  <si>
    <t>https://doi.org/10.1038/s41467-022-30513-23</t>
  </si>
  <si>
    <t>https://doi.org/10.1038/s41467-022-30513-26</t>
  </si>
  <si>
    <t>sysbio_Jianye</t>
  </si>
  <si>
    <t>Min_aerobic_1</t>
  </si>
  <si>
    <t>Min_aerobic_2</t>
  </si>
  <si>
    <t>Rich_aerobic_1</t>
  </si>
  <si>
    <t>Rich_aerobic_2</t>
  </si>
  <si>
    <t>Min_anaerobic_1</t>
  </si>
  <si>
    <t>Min_anaerobic_2</t>
  </si>
  <si>
    <t>Min_anaerobic_3</t>
  </si>
  <si>
    <t>Rich_anaerobic_1</t>
  </si>
  <si>
    <t>Rich_anaerobic_2</t>
  </si>
  <si>
    <t>Rich_anaerobic_3</t>
  </si>
  <si>
    <t>S1_carbon_limit</t>
  </si>
  <si>
    <t>S2_carbon_limit</t>
  </si>
  <si>
    <t>S3_carbon_limit</t>
  </si>
  <si>
    <t>S4_carbon_limit</t>
  </si>
  <si>
    <t>S5_carbon_limit</t>
  </si>
  <si>
    <t>S6_carbon_limit</t>
  </si>
  <si>
    <t>S7_carbon_limit</t>
  </si>
  <si>
    <t>S8_carbon_limit</t>
  </si>
  <si>
    <t>S9_carbon_limit</t>
  </si>
  <si>
    <t>S10_carbon_limit</t>
  </si>
  <si>
    <t>S11_carbon_limit</t>
  </si>
  <si>
    <t>S12_carbon_limit</t>
  </si>
  <si>
    <t>S13_carbon_limit</t>
  </si>
  <si>
    <t>S14_carbon_limit</t>
  </si>
  <si>
    <t>S15_carbon_limit</t>
  </si>
  <si>
    <t>S16_carbon_limit</t>
  </si>
  <si>
    <t>S17_carbon_limit</t>
  </si>
  <si>
    <t>S18_carbon_limit</t>
  </si>
  <si>
    <t>S19_carbon_limit</t>
  </si>
  <si>
    <t>S20_carbon_limit</t>
  </si>
  <si>
    <t>S21_carbon_limit</t>
  </si>
  <si>
    <t>S22_carbon_limit</t>
  </si>
  <si>
    <t>S23_carbon_limit</t>
  </si>
  <si>
    <t>S24_carbon_limit</t>
  </si>
  <si>
    <t>S25_carbon_limit</t>
  </si>
  <si>
    <t>S26_carbon_limit</t>
  </si>
  <si>
    <t>S27_carbon_limit</t>
  </si>
  <si>
    <r>
      <rPr>
        <vertAlign val="superscript"/>
        <sz val="12"/>
        <color theme="1"/>
        <rFont val="Gill Sans"/>
        <family val="2"/>
      </rPr>
      <t>a</t>
    </r>
    <r>
      <rPr>
        <sz val="12"/>
        <color theme="1"/>
        <rFont val="Gill Sans"/>
        <family val="2"/>
      </rPr>
      <t xml:space="preserve"> 2 mM dithiothreitol, 2 h</t>
    </r>
  </si>
  <si>
    <r>
      <rPr>
        <vertAlign val="superscript"/>
        <sz val="12"/>
        <color theme="1"/>
        <rFont val="Gill Sans"/>
        <family val="2"/>
      </rPr>
      <t>b</t>
    </r>
    <r>
      <rPr>
        <sz val="12"/>
        <color theme="1"/>
        <rFont val="Gill Sans"/>
        <family val="2"/>
      </rPr>
      <t xml:space="preserve"> 1 mM H</t>
    </r>
    <r>
      <rPr>
        <vertAlign val="subscript"/>
        <sz val="12"/>
        <color theme="1"/>
        <rFont val="Gill Sans"/>
        <family val="2"/>
      </rPr>
      <t>2</t>
    </r>
    <r>
      <rPr>
        <sz val="12"/>
        <color theme="1"/>
        <rFont val="Gill Sans"/>
        <family val="2"/>
      </rPr>
      <t>O</t>
    </r>
    <r>
      <rPr>
        <vertAlign val="subscript"/>
        <sz val="12"/>
        <color theme="1"/>
        <rFont val="Gill Sans"/>
        <family val="2"/>
      </rPr>
      <t>2</t>
    </r>
    <r>
      <rPr>
        <sz val="12"/>
        <color theme="1"/>
        <rFont val="Gill Sans"/>
        <family val="2"/>
      </rPr>
      <t>, 1 h</t>
    </r>
  </si>
  <si>
    <r>
      <rPr>
        <vertAlign val="superscript"/>
        <sz val="12"/>
        <color theme="1"/>
        <rFont val="Gill Sans"/>
        <family val="2"/>
      </rPr>
      <t>c</t>
    </r>
    <r>
      <rPr>
        <sz val="12"/>
        <color theme="1"/>
        <rFont val="Gill Sans"/>
        <family val="2"/>
      </rPr>
      <t xml:space="preserve"> 0.67% yeast nitrogen base without amino acids and without ammonium sulfate, 15 h</t>
    </r>
  </si>
  <si>
    <r>
      <rPr>
        <vertAlign val="superscript"/>
        <sz val="12"/>
        <color theme="1"/>
        <rFont val="Gill Sans"/>
        <family val="2"/>
      </rPr>
      <t>d</t>
    </r>
    <r>
      <rPr>
        <sz val="12"/>
        <color theme="1"/>
        <rFont val="Gill Sans"/>
        <family val="2"/>
      </rPr>
      <t xml:space="preserve"> 0.2M hydroxyurea, 160 min</t>
    </r>
  </si>
  <si>
    <r>
      <rPr>
        <vertAlign val="superscript"/>
        <sz val="12"/>
        <color theme="1"/>
        <rFont val="Gill Sans"/>
        <family val="2"/>
      </rPr>
      <t>e</t>
    </r>
    <r>
      <rPr>
        <sz val="12"/>
        <color theme="1"/>
        <rFont val="Gill Sans"/>
        <family val="2"/>
      </rPr>
      <t xml:space="preserve"> 200 ng/ml rapamycin, 700 min</t>
    </r>
  </si>
  <si>
    <r>
      <t xml:space="preserve">f </t>
    </r>
    <r>
      <rPr>
        <sz val="12"/>
        <color rgb="FF000000"/>
        <rFont val="Gill Sans"/>
        <family val="2"/>
      </rPr>
      <t>YPAD + 50 mg/mL ampicillin, 7d</t>
    </r>
  </si>
  <si>
    <r>
      <t xml:space="preserve">g </t>
    </r>
    <r>
      <rPr>
        <sz val="12"/>
        <color rgb="FF000000"/>
        <rFont val="Gill Sans"/>
        <family val="2"/>
      </rPr>
      <t>0.03% methyl methanesulfonate, 7h</t>
    </r>
  </si>
  <si>
    <r>
      <t xml:space="preserve">h </t>
    </r>
    <r>
      <rPr>
        <sz val="12"/>
        <color rgb="FF000000"/>
        <rFont val="Gill Sans"/>
        <family val="2"/>
      </rPr>
      <t>0.03% methyl methanesulfonate, 4h</t>
    </r>
  </si>
  <si>
    <r>
      <t xml:space="preserve">i </t>
    </r>
    <r>
      <rPr>
        <sz val="12"/>
        <color rgb="FF000000"/>
        <rFont val="Gill Sans"/>
        <family val="2"/>
      </rPr>
      <t>0.02% methyl methanesulfonate, 2h</t>
    </r>
  </si>
  <si>
    <r>
      <t xml:space="preserve">j </t>
    </r>
    <r>
      <rPr>
        <sz val="12"/>
        <color rgb="FF000000"/>
        <rFont val="Gill Sans"/>
        <family val="2"/>
      </rPr>
      <t>0.2M hydroxyurea, 2h</t>
    </r>
  </si>
  <si>
    <r>
      <t xml:space="preserve">k </t>
    </r>
    <r>
      <rPr>
        <sz val="12"/>
        <color rgb="FF000000"/>
        <rFont val="Gill Sans"/>
        <family val="2"/>
      </rPr>
      <t>0.03% methyl methanesulfonate, 2h</t>
    </r>
  </si>
  <si>
    <t>Copy number WT 0 hr 1</t>
  </si>
  <si>
    <t>Copy number WT 0 hr 2</t>
  </si>
  <si>
    <t>Copy number WT 0 hr 3</t>
  </si>
  <si>
    <t>Copy number WT 4 hr 1</t>
  </si>
  <si>
    <t>Copy number WT 4 hr 2</t>
  </si>
  <si>
    <t>Copy number WT 4 hr 3</t>
  </si>
  <si>
    <t>Copy number WT 4 hr 4</t>
  </si>
  <si>
    <t>Copy number WT 8 hr 1</t>
  </si>
  <si>
    <t>Copy number WT 8 hr 2</t>
  </si>
  <si>
    <t>Copy number WT 8 hr 3</t>
  </si>
  <si>
    <t>Copy number WT 8 hr 4</t>
  </si>
  <si>
    <t>Copy number WT 12 hr 1</t>
  </si>
  <si>
    <t>Copy number WT 12 hr 2</t>
  </si>
  <si>
    <t>Copy number WT 12 hr 3</t>
  </si>
  <si>
    <t>Copy number WT 12 hr 4</t>
  </si>
  <si>
    <t>Copy number WT 16 hr 1</t>
  </si>
  <si>
    <t>Copy number WT 16 hr 3</t>
  </si>
  <si>
    <t>Copy number WT 16 hr 4</t>
  </si>
  <si>
    <t>Yirong Wang</t>
  </si>
  <si>
    <t>DOI: 10.1039/c8mt00269j</t>
  </si>
  <si>
    <t>S. cerevisiae BY4743?</t>
  </si>
  <si>
    <t>Copy number WT 0 hr_zinc deficiency</t>
  </si>
  <si>
    <t>Copy number WT 4 hr_zinc deficiency</t>
  </si>
  <si>
    <t>Copy number WT 8 hr_zinc deficiency</t>
  </si>
  <si>
    <t>Copy number WT 12 hr_zinc deficiency</t>
  </si>
  <si>
    <t>Copy number WT 16 hr_zinc deficiency</t>
  </si>
  <si>
    <t>low zinc medium (LZM)</t>
  </si>
  <si>
    <t>sampleID</t>
  </si>
  <si>
    <t>sysbio_Petri-Jaan</t>
  </si>
  <si>
    <t>sysbio_Francesca</t>
  </si>
  <si>
    <t>sysbio_Carl</t>
  </si>
  <si>
    <t>sysbio_Rosemary</t>
  </si>
  <si>
    <t>sysbio_Tyler</t>
  </si>
  <si>
    <t>sysbio_Johan</t>
  </si>
  <si>
    <t>sysbio_Rosemary2</t>
  </si>
  <si>
    <t>sysbio_Kate</t>
  </si>
  <si>
    <t>Trehalose</t>
  </si>
  <si>
    <t>Glucose</t>
  </si>
  <si>
    <t>Maltose</t>
  </si>
  <si>
    <t>Galactose</t>
  </si>
  <si>
    <t>cycloheximide_inhibition_miu=0.12</t>
  </si>
  <si>
    <t>cycloheximide_inhibition_miu=0.39</t>
  </si>
  <si>
    <t>cycloheximide_inhibition_miu=0.32</t>
  </si>
  <si>
    <t>cycloheximide_inhibition_miu=0.2</t>
  </si>
  <si>
    <t>maltose</t>
  </si>
  <si>
    <t>oleate</t>
  </si>
  <si>
    <t>fructose</t>
  </si>
  <si>
    <t>sucrose</t>
  </si>
  <si>
    <t>trehalose</t>
  </si>
  <si>
    <t>lactate</t>
  </si>
  <si>
    <t>acetate</t>
  </si>
  <si>
    <t>pryuvate</t>
  </si>
  <si>
    <t>glycerol</t>
  </si>
  <si>
    <t>galactose</t>
  </si>
  <si>
    <t>raffinose</t>
  </si>
  <si>
    <t>Chemostats_C_limit_miu=0.34</t>
  </si>
  <si>
    <t>Chemostats_C_limit_miu=0.32</t>
  </si>
  <si>
    <t>Chemostats_C_limit_miu=0.3</t>
  </si>
  <si>
    <t>Chemostats_C_limit_miu=0.27</t>
  </si>
  <si>
    <t>Chemostats_C_limit_miu=0.20</t>
  </si>
  <si>
    <t>Chemostats_C_limit_miu=0.23</t>
  </si>
  <si>
    <t>FG_CN4_D= 0.26 or 0.32</t>
  </si>
  <si>
    <t>condition_unique</t>
  </si>
  <si>
    <t>source_simple</t>
  </si>
  <si>
    <t>Lahtvee lab</t>
  </si>
  <si>
    <t>Gygi lab</t>
  </si>
  <si>
    <t>Teusink lab</t>
  </si>
  <si>
    <t>Rabinowitz lab</t>
  </si>
  <si>
    <t xml:space="preserve">Brown lab's curated </t>
  </si>
  <si>
    <t>Weissman lab</t>
  </si>
  <si>
    <t>Mann lab</t>
  </si>
  <si>
    <t>Warscheid lab</t>
  </si>
  <si>
    <t>Eide lab</t>
  </si>
  <si>
    <t>Nielsen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</si>
</sst>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 (Body)"/>
    </font>
    <font>
      <sz val="12"/>
      <name val="Calibri (Body)"/>
    </font>
    <font>
      <sz val="11"/>
      <name val="Times New Roman"/>
      <family val="1"/>
    </font>
    <font>
      <sz val="12"/>
      <name val="Times Roman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FF0000"/>
      <name val="Calibri (Body)"/>
    </font>
    <font>
      <sz val="12"/>
      <color theme="1"/>
      <name val="Gill Sans"/>
      <family val="2"/>
    </font>
    <font>
      <vertAlign val="superscript"/>
      <sz val="12"/>
      <color rgb="FF000000"/>
      <name val="Gill Sans"/>
      <family val="2"/>
    </font>
    <font>
      <sz val="12"/>
      <color rgb="FF000000"/>
      <name val="Gill Sans"/>
      <family val="2"/>
    </font>
    <font>
      <vertAlign val="subscript"/>
      <sz val="12"/>
      <color theme="1"/>
      <name val="Gill Sans"/>
      <family val="2"/>
    </font>
    <font>
      <vertAlign val="superscript"/>
      <sz val="12"/>
      <color theme="1"/>
      <name val="Gill Sans"/>
      <family val="2"/>
    </font>
    <font>
      <sz val="12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8" fillId="0" borderId="0" applyNumberFormat="0" applyFill="0" applyBorder="0" applyAlignment="0" applyProtection="0"/>
  </cellStyleXfs>
  <cellXfs count="100">
    <xf numFmtId="0" fontId="0" fillId="0" borderId="0" xfId="0"/>
    <xf numFmtId="0" fontId="0" fillId="0" borderId="10" xfId="0" applyBorder="1"/>
    <xf numFmtId="0" fontId="20" fillId="33" borderId="10" xfId="0" applyFont="1" applyFill="1" applyBorder="1"/>
    <xf numFmtId="0" fontId="0" fillId="34" borderId="0" xfId="0" applyFill="1"/>
    <xf numFmtId="0" fontId="20" fillId="34" borderId="10" xfId="0" applyFont="1" applyFill="1" applyBorder="1"/>
    <xf numFmtId="0" fontId="20" fillId="0" borderId="0" xfId="0" applyFont="1" applyAlignment="1">
      <alignment horizontal="left"/>
    </xf>
    <xf numFmtId="0" fontId="18" fillId="0" borderId="0" xfId="0" applyFont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6" fillId="0" borderId="0" xfId="0" applyFont="1"/>
    <xf numFmtId="0" fontId="18" fillId="39" borderId="0" xfId="0" applyFont="1" applyFill="1" applyAlignment="1">
      <alignment horizontal="left" vertical="top"/>
    </xf>
    <xf numFmtId="0" fontId="18" fillId="0" borderId="11" xfId="0" applyFont="1" applyBorder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0" fontId="23" fillId="0" borderId="0" xfId="0" applyFont="1" applyAlignment="1">
      <alignment horizontal="left"/>
    </xf>
    <xf numFmtId="0" fontId="20" fillId="0" borderId="11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27" fillId="0" borderId="0" xfId="0" applyFont="1" applyAlignment="1">
      <alignment horizontal="left"/>
    </xf>
    <xf numFmtId="0" fontId="28" fillId="0" borderId="0" xfId="42" applyAlignment="1">
      <alignment horizontal="left"/>
    </xf>
    <xf numFmtId="0" fontId="18" fillId="33" borderId="0" xfId="0" applyFont="1" applyFill="1" applyAlignment="1">
      <alignment horizontal="left" vertical="top"/>
    </xf>
    <xf numFmtId="0" fontId="20" fillId="33" borderId="0" xfId="0" applyFont="1" applyFill="1"/>
    <xf numFmtId="0" fontId="23" fillId="0" borderId="11" xfId="0" applyFont="1" applyBorder="1" applyAlignment="1">
      <alignment horizontal="left"/>
    </xf>
    <xf numFmtId="0" fontId="23" fillId="0" borderId="12" xfId="0" applyFont="1" applyBorder="1" applyAlignment="1">
      <alignment horizontal="left"/>
    </xf>
    <xf numFmtId="0" fontId="18" fillId="39" borderId="11" xfId="0" applyFont="1" applyFill="1" applyBorder="1" applyAlignment="1">
      <alignment horizontal="left" vertical="top"/>
    </xf>
    <xf numFmtId="0" fontId="18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22" fillId="0" borderId="11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2" fillId="0" borderId="12" xfId="0" applyFont="1" applyBorder="1" applyAlignment="1">
      <alignment horizontal="left"/>
    </xf>
    <xf numFmtId="0" fontId="22" fillId="0" borderId="13" xfId="0" applyFont="1" applyBorder="1" applyAlignment="1">
      <alignment horizontal="left"/>
    </xf>
    <xf numFmtId="0" fontId="20" fillId="0" borderId="0" xfId="6" applyFont="1" applyFill="1" applyBorder="1" applyAlignment="1">
      <alignment horizontal="left"/>
    </xf>
    <xf numFmtId="0" fontId="20" fillId="36" borderId="0" xfId="0" applyFont="1" applyFill="1" applyAlignment="1">
      <alignment horizontal="left"/>
    </xf>
    <xf numFmtId="0" fontId="25" fillId="0" borderId="11" xfId="0" applyFont="1" applyBorder="1" applyAlignment="1">
      <alignment horizontal="left"/>
    </xf>
    <xf numFmtId="0" fontId="20" fillId="36" borderId="11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25" fillId="0" borderId="12" xfId="0" applyFont="1" applyBorder="1" applyAlignment="1">
      <alignment horizontal="left"/>
    </xf>
    <xf numFmtId="0" fontId="20" fillId="36" borderId="12" xfId="0" applyFont="1" applyFill="1" applyBorder="1" applyAlignment="1">
      <alignment horizontal="left"/>
    </xf>
    <xf numFmtId="0" fontId="25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24" fillId="0" borderId="11" xfId="0" applyFont="1" applyBorder="1" applyAlignment="1">
      <alignment horizontal="left"/>
    </xf>
    <xf numFmtId="164" fontId="24" fillId="0" borderId="11" xfId="0" applyNumberFormat="1" applyFont="1" applyBorder="1" applyAlignment="1">
      <alignment horizontal="left"/>
    </xf>
    <xf numFmtId="0" fontId="24" fillId="0" borderId="12" xfId="0" applyFont="1" applyBorder="1" applyAlignment="1">
      <alignment horizontal="left"/>
    </xf>
    <xf numFmtId="164" fontId="24" fillId="0" borderId="12" xfId="0" applyNumberFormat="1" applyFont="1" applyBorder="1" applyAlignment="1">
      <alignment horizontal="left"/>
    </xf>
    <xf numFmtId="0" fontId="24" fillId="0" borderId="0" xfId="0" applyFont="1" applyAlignment="1">
      <alignment horizontal="left"/>
    </xf>
    <xf numFmtId="164" fontId="24" fillId="0" borderId="0" xfId="0" applyNumberFormat="1" applyFont="1" applyAlignment="1">
      <alignment horizontal="left"/>
    </xf>
    <xf numFmtId="0" fontId="20" fillId="0" borderId="1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30" fillId="0" borderId="11" xfId="0" applyFont="1" applyBorder="1" applyAlignment="1">
      <alignment horizontal="left"/>
    </xf>
    <xf numFmtId="0" fontId="30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12" xfId="0" applyFont="1" applyBorder="1" applyAlignment="1">
      <alignment horizontal="left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vertical="center"/>
    </xf>
    <xf numFmtId="0" fontId="36" fillId="0" borderId="11" xfId="0" applyFont="1" applyBorder="1" applyAlignment="1">
      <alignment horizontal="left" vertical="top"/>
    </xf>
    <xf numFmtId="0" fontId="36" fillId="0" borderId="0" xfId="0" applyFont="1" applyAlignment="1">
      <alignment horizontal="left" vertical="top"/>
    </xf>
    <xf numFmtId="0" fontId="36" fillId="0" borderId="12" xfId="0" applyFont="1" applyBorder="1" applyAlignment="1">
      <alignment horizontal="left" vertical="top"/>
    </xf>
    <xf numFmtId="0" fontId="22" fillId="0" borderId="11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36" fillId="0" borderId="10" xfId="0" applyFont="1" applyBorder="1" applyAlignment="1">
      <alignment horizontal="left" vertical="top"/>
    </xf>
    <xf numFmtId="0" fontId="21" fillId="40" borderId="13" xfId="0" applyFont="1" applyFill="1" applyBorder="1" applyAlignment="1">
      <alignment horizontal="left" vertical="top"/>
    </xf>
    <xf numFmtId="0" fontId="19" fillId="38" borderId="0" xfId="0" applyFont="1" applyFill="1" applyAlignment="1">
      <alignment horizontal="left" vertical="top"/>
    </xf>
    <xf numFmtId="0" fontId="18" fillId="36" borderId="11" xfId="0" applyFont="1" applyFill="1" applyBorder="1" applyAlignment="1">
      <alignment horizontal="left" vertical="top"/>
    </xf>
    <xf numFmtId="0" fontId="18" fillId="36" borderId="0" xfId="0" applyFont="1" applyFill="1" applyAlignment="1">
      <alignment horizontal="left" vertical="top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8" fillId="35" borderId="0" xfId="0" applyFont="1" applyFill="1" applyAlignment="1">
      <alignment horizontal="left" vertical="top"/>
    </xf>
    <xf numFmtId="0" fontId="18" fillId="37" borderId="11" xfId="0" applyFont="1" applyFill="1" applyBorder="1" applyAlignment="1">
      <alignment horizontal="left" vertical="top"/>
    </xf>
    <xf numFmtId="0" fontId="18" fillId="37" borderId="0" xfId="0" applyFont="1" applyFill="1" applyAlignment="1">
      <alignment horizontal="left" vertical="top"/>
    </xf>
    <xf numFmtId="0" fontId="18" fillId="37" borderId="12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0" fontId="6" fillId="2" borderId="0" xfId="6" applyAlignment="1">
      <alignment horizontal="left"/>
    </xf>
    <xf numFmtId="0" fontId="18" fillId="33" borderId="13" xfId="0" applyFont="1" applyFill="1" applyBorder="1" applyAlignment="1">
      <alignment horizontal="left" vertical="top"/>
    </xf>
    <xf numFmtId="0" fontId="22" fillId="33" borderId="13" xfId="0" applyFont="1" applyFill="1" applyBorder="1" applyAlignment="1">
      <alignment horizontal="left"/>
    </xf>
    <xf numFmtId="0" fontId="20" fillId="33" borderId="13" xfId="0" applyFont="1" applyFill="1" applyBorder="1" applyAlignment="1">
      <alignment horizontal="left"/>
    </xf>
    <xf numFmtId="0" fontId="18" fillId="41" borderId="11" xfId="0" applyFont="1" applyFill="1" applyBorder="1" applyAlignment="1">
      <alignment horizontal="left" vertical="top"/>
    </xf>
    <xf numFmtId="0" fontId="18" fillId="41" borderId="0" xfId="0" applyFont="1" applyFill="1" applyAlignment="1">
      <alignment horizontal="left" vertical="top"/>
    </xf>
    <xf numFmtId="0" fontId="28" fillId="0" borderId="11" xfId="42" applyBorder="1" applyAlignment="1">
      <alignment horizontal="left"/>
    </xf>
    <xf numFmtId="0" fontId="28" fillId="0" borderId="11" xfId="42" applyBorder="1" applyAlignment="1">
      <alignment horizontal="left" vertical="top"/>
    </xf>
    <xf numFmtId="0" fontId="18" fillId="42" borderId="11" xfId="0" applyFont="1" applyFill="1" applyBorder="1" applyAlignment="1">
      <alignment horizontal="left" vertical="top"/>
    </xf>
    <xf numFmtId="0" fontId="20" fillId="37" borderId="0" xfId="0" applyFont="1" applyFill="1" applyAlignment="1">
      <alignment horizontal="left"/>
    </xf>
    <xf numFmtId="0" fontId="20" fillId="37" borderId="11" xfId="0" applyFont="1" applyFill="1" applyBorder="1" applyAlignment="1">
      <alignment horizontal="left"/>
    </xf>
    <xf numFmtId="0" fontId="20" fillId="0" borderId="13" xfId="0" applyFont="1" applyBorder="1" applyAlignment="1">
      <alignment horizontal="left"/>
    </xf>
    <xf numFmtId="0" fontId="21" fillId="40" borderId="0" xfId="0" applyFont="1" applyFill="1" applyBorder="1" applyAlignment="1">
      <alignment horizontal="left" vertical="top"/>
    </xf>
    <xf numFmtId="0" fontId="36" fillId="0" borderId="13" xfId="0" applyFont="1" applyBorder="1" applyAlignment="1">
      <alignment horizontal="left" vertical="top"/>
    </xf>
    <xf numFmtId="0" fontId="36" fillId="0" borderId="0" xfId="0" applyFont="1" applyBorder="1" applyAlignment="1">
      <alignment horizontal="left" vertical="top"/>
    </xf>
    <xf numFmtId="0" fontId="18" fillId="0" borderId="0" xfId="0" applyFont="1" applyBorder="1" applyAlignment="1">
      <alignment horizontal="left" vertical="top"/>
    </xf>
    <xf numFmtId="0" fontId="18" fillId="33" borderId="0" xfId="0" applyFont="1" applyFill="1" applyBorder="1" applyAlignment="1">
      <alignment horizontal="left" vertical="top"/>
    </xf>
    <xf numFmtId="0" fontId="22" fillId="0" borderId="0" xfId="0" applyFont="1" applyBorder="1" applyAlignment="1">
      <alignment horizontal="left" vertical="top"/>
    </xf>
    <xf numFmtId="0" fontId="20" fillId="0" borderId="0" xfId="0" applyFont="1" applyBorder="1" applyAlignment="1">
      <alignment horizontal="left"/>
    </xf>
    <xf numFmtId="0" fontId="18" fillId="35" borderId="11" xfId="0" applyFont="1" applyFill="1" applyBorder="1" applyAlignment="1">
      <alignment horizontal="left" vertical="top"/>
    </xf>
    <xf numFmtId="0" fontId="18" fillId="36" borderId="0" xfId="0" applyFont="1" applyFill="1" applyBorder="1" applyAlignment="1">
      <alignment horizontal="left" vertical="top"/>
    </xf>
    <xf numFmtId="0" fontId="18" fillId="35" borderId="12" xfId="0" applyFont="1" applyFill="1" applyBorder="1" applyAlignment="1">
      <alignment horizontal="lef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Sheet2!$J$1</c:f>
              <c:strCache>
                <c:ptCount val="1"/>
                <c:pt idx="0">
                  <c:v>qGlucose (mmol/gDW h)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Sheet2!$I$2:$I$99</c:f>
              <c:numCache>
                <c:formatCode>General</c:formatCode>
                <c:ptCount val="98"/>
                <c:pt idx="0">
                  <c:v>2.7E-2</c:v>
                </c:pt>
                <c:pt idx="1">
                  <c:v>2.7E-2</c:v>
                </c:pt>
                <c:pt idx="2">
                  <c:v>2.7E-2</c:v>
                </c:pt>
                <c:pt idx="3">
                  <c:v>4.3999999999999997E-2</c:v>
                </c:pt>
                <c:pt idx="4">
                  <c:v>4.3999999999999997E-2</c:v>
                </c:pt>
                <c:pt idx="5">
                  <c:v>4.3999999999999997E-2</c:v>
                </c:pt>
                <c:pt idx="6">
                  <c:v>0.10199999999999999</c:v>
                </c:pt>
                <c:pt idx="7">
                  <c:v>0.10199999999999999</c:v>
                </c:pt>
                <c:pt idx="8">
                  <c:v>0.10199999999999999</c:v>
                </c:pt>
                <c:pt idx="9">
                  <c:v>0.152</c:v>
                </c:pt>
                <c:pt idx="10">
                  <c:v>0.152</c:v>
                </c:pt>
                <c:pt idx="11">
                  <c:v>0.152</c:v>
                </c:pt>
                <c:pt idx="12">
                  <c:v>0.214</c:v>
                </c:pt>
                <c:pt idx="13">
                  <c:v>0.214</c:v>
                </c:pt>
                <c:pt idx="14">
                  <c:v>0.214</c:v>
                </c:pt>
                <c:pt idx="15">
                  <c:v>0.254</c:v>
                </c:pt>
                <c:pt idx="16">
                  <c:v>0.254</c:v>
                </c:pt>
                <c:pt idx="17">
                  <c:v>0.254</c:v>
                </c:pt>
                <c:pt idx="18">
                  <c:v>0.28399999999999997</c:v>
                </c:pt>
                <c:pt idx="19">
                  <c:v>0.28399999999999997</c:v>
                </c:pt>
                <c:pt idx="20">
                  <c:v>0.28399999999999997</c:v>
                </c:pt>
                <c:pt idx="21">
                  <c:v>0.33400000000000002</c:v>
                </c:pt>
                <c:pt idx="22">
                  <c:v>0.33400000000000002</c:v>
                </c:pt>
                <c:pt idx="23">
                  <c:v>0.33400000000000002</c:v>
                </c:pt>
                <c:pt idx="24">
                  <c:v>0.379</c:v>
                </c:pt>
                <c:pt idx="25">
                  <c:v>0.379</c:v>
                </c:pt>
                <c:pt idx="26">
                  <c:v>0.379</c:v>
                </c:pt>
              </c:numCache>
            </c:numRef>
          </c:xVal>
          <c:yVal>
            <c:numRef>
              <c:f>Sheet2!$J$2:$J$99</c:f>
              <c:numCache>
                <c:formatCode>General</c:formatCode>
                <c:ptCount val="98"/>
                <c:pt idx="0">
                  <c:v>0.33700000000000002</c:v>
                </c:pt>
                <c:pt idx="1">
                  <c:v>0.33700000000000002</c:v>
                </c:pt>
                <c:pt idx="2">
                  <c:v>0.33700000000000002</c:v>
                </c:pt>
                <c:pt idx="3">
                  <c:v>0.52300000000000002</c:v>
                </c:pt>
                <c:pt idx="4">
                  <c:v>0.52300000000000002</c:v>
                </c:pt>
                <c:pt idx="5">
                  <c:v>0.52300000000000002</c:v>
                </c:pt>
                <c:pt idx="6">
                  <c:v>1.171</c:v>
                </c:pt>
                <c:pt idx="7">
                  <c:v>1.171</c:v>
                </c:pt>
                <c:pt idx="8">
                  <c:v>1.171</c:v>
                </c:pt>
                <c:pt idx="9">
                  <c:v>1.6830000000000001</c:v>
                </c:pt>
                <c:pt idx="10">
                  <c:v>1.6830000000000001</c:v>
                </c:pt>
                <c:pt idx="11">
                  <c:v>1.6830000000000001</c:v>
                </c:pt>
                <c:pt idx="12">
                  <c:v>2.4769999999999999</c:v>
                </c:pt>
                <c:pt idx="13">
                  <c:v>2.4769999999999999</c:v>
                </c:pt>
                <c:pt idx="14">
                  <c:v>2.4769999999999999</c:v>
                </c:pt>
                <c:pt idx="15">
                  <c:v>2.8620000000000001</c:v>
                </c:pt>
                <c:pt idx="16">
                  <c:v>2.8620000000000001</c:v>
                </c:pt>
                <c:pt idx="17">
                  <c:v>2.8620000000000001</c:v>
                </c:pt>
                <c:pt idx="18">
                  <c:v>3.2050000000000001</c:v>
                </c:pt>
                <c:pt idx="19">
                  <c:v>3.2050000000000001</c:v>
                </c:pt>
                <c:pt idx="20">
                  <c:v>3.2050000000000001</c:v>
                </c:pt>
                <c:pt idx="21">
                  <c:v>5.2350000000000003</c:v>
                </c:pt>
                <c:pt idx="22">
                  <c:v>5.2350000000000003</c:v>
                </c:pt>
                <c:pt idx="23">
                  <c:v>5.2350000000000003</c:v>
                </c:pt>
                <c:pt idx="24">
                  <c:v>6.9569999999999999</c:v>
                </c:pt>
                <c:pt idx="25">
                  <c:v>6.9569999999999999</c:v>
                </c:pt>
                <c:pt idx="26">
                  <c:v>6.9569999999999999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9D-3D4F-8318-C8D643319982}"/>
            </c:ext>
          </c:extLst>
        </c:ser>
        <c:ser>
          <c:idx val="1"/>
          <c:order val="1"/>
          <c:tx>
            <c:strRef>
              <c:f>Sheet2!$K$1</c:f>
              <c:strCache>
                <c:ptCount val="1"/>
                <c:pt idx="0">
                  <c:v>qCO2 (mmol/gDW h)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Sheet2!$I$2:$I$99</c:f>
              <c:numCache>
                <c:formatCode>General</c:formatCode>
                <c:ptCount val="98"/>
                <c:pt idx="0">
                  <c:v>2.7E-2</c:v>
                </c:pt>
                <c:pt idx="1">
                  <c:v>2.7E-2</c:v>
                </c:pt>
                <c:pt idx="2">
                  <c:v>2.7E-2</c:v>
                </c:pt>
                <c:pt idx="3">
                  <c:v>4.3999999999999997E-2</c:v>
                </c:pt>
                <c:pt idx="4">
                  <c:v>4.3999999999999997E-2</c:v>
                </c:pt>
                <c:pt idx="5">
                  <c:v>4.3999999999999997E-2</c:v>
                </c:pt>
                <c:pt idx="6">
                  <c:v>0.10199999999999999</c:v>
                </c:pt>
                <c:pt idx="7">
                  <c:v>0.10199999999999999</c:v>
                </c:pt>
                <c:pt idx="8">
                  <c:v>0.10199999999999999</c:v>
                </c:pt>
                <c:pt idx="9">
                  <c:v>0.152</c:v>
                </c:pt>
                <c:pt idx="10">
                  <c:v>0.152</c:v>
                </c:pt>
                <c:pt idx="11">
                  <c:v>0.152</c:v>
                </c:pt>
                <c:pt idx="12">
                  <c:v>0.214</c:v>
                </c:pt>
                <c:pt idx="13">
                  <c:v>0.214</c:v>
                </c:pt>
                <c:pt idx="14">
                  <c:v>0.214</c:v>
                </c:pt>
                <c:pt idx="15">
                  <c:v>0.254</c:v>
                </c:pt>
                <c:pt idx="16">
                  <c:v>0.254</c:v>
                </c:pt>
                <c:pt idx="17">
                  <c:v>0.254</c:v>
                </c:pt>
                <c:pt idx="18">
                  <c:v>0.28399999999999997</c:v>
                </c:pt>
                <c:pt idx="19">
                  <c:v>0.28399999999999997</c:v>
                </c:pt>
                <c:pt idx="20">
                  <c:v>0.28399999999999997</c:v>
                </c:pt>
                <c:pt idx="21">
                  <c:v>0.33400000000000002</c:v>
                </c:pt>
                <c:pt idx="22">
                  <c:v>0.33400000000000002</c:v>
                </c:pt>
                <c:pt idx="23">
                  <c:v>0.33400000000000002</c:v>
                </c:pt>
                <c:pt idx="24">
                  <c:v>0.379</c:v>
                </c:pt>
                <c:pt idx="25">
                  <c:v>0.379</c:v>
                </c:pt>
                <c:pt idx="26">
                  <c:v>0.379</c:v>
                </c:pt>
              </c:numCache>
            </c:numRef>
          </c:xVal>
          <c:yVal>
            <c:numRef>
              <c:f>Sheet2!$K$2:$K$99</c:f>
              <c:numCache>
                <c:formatCode>General</c:formatCode>
                <c:ptCount val="98"/>
                <c:pt idx="0">
                  <c:v>0.878</c:v>
                </c:pt>
                <c:pt idx="1">
                  <c:v>0.878</c:v>
                </c:pt>
                <c:pt idx="2">
                  <c:v>0.878</c:v>
                </c:pt>
                <c:pt idx="3">
                  <c:v>1.458</c:v>
                </c:pt>
                <c:pt idx="4">
                  <c:v>1.458</c:v>
                </c:pt>
                <c:pt idx="5">
                  <c:v>1.458</c:v>
                </c:pt>
                <c:pt idx="6">
                  <c:v>2.5470000000000002</c:v>
                </c:pt>
                <c:pt idx="7">
                  <c:v>2.5470000000000002</c:v>
                </c:pt>
                <c:pt idx="8">
                  <c:v>2.5470000000000002</c:v>
                </c:pt>
                <c:pt idx="9">
                  <c:v>3.81518914277475</c:v>
                </c:pt>
                <c:pt idx="10">
                  <c:v>3.81518914277475</c:v>
                </c:pt>
                <c:pt idx="11">
                  <c:v>3.81518914277475</c:v>
                </c:pt>
                <c:pt idx="12">
                  <c:v>5.5949999999999998</c:v>
                </c:pt>
                <c:pt idx="13">
                  <c:v>5.5949999999999998</c:v>
                </c:pt>
                <c:pt idx="14">
                  <c:v>5.5949999999999998</c:v>
                </c:pt>
                <c:pt idx="15">
                  <c:v>6.484</c:v>
                </c:pt>
                <c:pt idx="16">
                  <c:v>6.484</c:v>
                </c:pt>
                <c:pt idx="17">
                  <c:v>6.484</c:v>
                </c:pt>
                <c:pt idx="18">
                  <c:v>8.0890000000000004</c:v>
                </c:pt>
                <c:pt idx="19">
                  <c:v>8.0890000000000004</c:v>
                </c:pt>
                <c:pt idx="20">
                  <c:v>8.0890000000000004</c:v>
                </c:pt>
                <c:pt idx="21">
                  <c:v>11.872999999999999</c:v>
                </c:pt>
                <c:pt idx="22">
                  <c:v>11.872999999999999</c:v>
                </c:pt>
                <c:pt idx="23">
                  <c:v>11.872999999999999</c:v>
                </c:pt>
                <c:pt idx="24">
                  <c:v>14.304133448972699</c:v>
                </c:pt>
                <c:pt idx="25">
                  <c:v>14.304133448972699</c:v>
                </c:pt>
                <c:pt idx="26">
                  <c:v>14.304133448972699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9D-3D4F-8318-C8D643319982}"/>
            </c:ext>
          </c:extLst>
        </c:ser>
        <c:ser>
          <c:idx val="2"/>
          <c:order val="2"/>
          <c:tx>
            <c:strRef>
              <c:f>Sheet2!$L$1</c:f>
              <c:strCache>
                <c:ptCount val="1"/>
                <c:pt idx="0">
                  <c:v>qO2 (mmol/gDW h)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Sheet2!$I$2:$I$99</c:f>
              <c:numCache>
                <c:formatCode>General</c:formatCode>
                <c:ptCount val="98"/>
                <c:pt idx="0">
                  <c:v>2.7E-2</c:v>
                </c:pt>
                <c:pt idx="1">
                  <c:v>2.7E-2</c:v>
                </c:pt>
                <c:pt idx="2">
                  <c:v>2.7E-2</c:v>
                </c:pt>
                <c:pt idx="3">
                  <c:v>4.3999999999999997E-2</c:v>
                </c:pt>
                <c:pt idx="4">
                  <c:v>4.3999999999999997E-2</c:v>
                </c:pt>
                <c:pt idx="5">
                  <c:v>4.3999999999999997E-2</c:v>
                </c:pt>
                <c:pt idx="6">
                  <c:v>0.10199999999999999</c:v>
                </c:pt>
                <c:pt idx="7">
                  <c:v>0.10199999999999999</c:v>
                </c:pt>
                <c:pt idx="8">
                  <c:v>0.10199999999999999</c:v>
                </c:pt>
                <c:pt idx="9">
                  <c:v>0.152</c:v>
                </c:pt>
                <c:pt idx="10">
                  <c:v>0.152</c:v>
                </c:pt>
                <c:pt idx="11">
                  <c:v>0.152</c:v>
                </c:pt>
                <c:pt idx="12">
                  <c:v>0.214</c:v>
                </c:pt>
                <c:pt idx="13">
                  <c:v>0.214</c:v>
                </c:pt>
                <c:pt idx="14">
                  <c:v>0.214</c:v>
                </c:pt>
                <c:pt idx="15">
                  <c:v>0.254</c:v>
                </c:pt>
                <c:pt idx="16">
                  <c:v>0.254</c:v>
                </c:pt>
                <c:pt idx="17">
                  <c:v>0.254</c:v>
                </c:pt>
                <c:pt idx="18">
                  <c:v>0.28399999999999997</c:v>
                </c:pt>
                <c:pt idx="19">
                  <c:v>0.28399999999999997</c:v>
                </c:pt>
                <c:pt idx="20">
                  <c:v>0.28399999999999997</c:v>
                </c:pt>
                <c:pt idx="21">
                  <c:v>0.33400000000000002</c:v>
                </c:pt>
                <c:pt idx="22">
                  <c:v>0.33400000000000002</c:v>
                </c:pt>
                <c:pt idx="23">
                  <c:v>0.33400000000000002</c:v>
                </c:pt>
                <c:pt idx="24">
                  <c:v>0.379</c:v>
                </c:pt>
                <c:pt idx="25">
                  <c:v>0.379</c:v>
                </c:pt>
                <c:pt idx="26">
                  <c:v>0.379</c:v>
                </c:pt>
              </c:numCache>
            </c:numRef>
          </c:xVal>
          <c:yVal>
            <c:numRef>
              <c:f>Sheet2!$L$2:$L$99</c:f>
              <c:numCache>
                <c:formatCode>General</c:formatCode>
                <c:ptCount val="98"/>
                <c:pt idx="0">
                  <c:v>0.86358170086251695</c:v>
                </c:pt>
                <c:pt idx="1">
                  <c:v>0.86358170086251695</c:v>
                </c:pt>
                <c:pt idx="2">
                  <c:v>0.86358170086251695</c:v>
                </c:pt>
                <c:pt idx="3">
                  <c:v>1.4368262739973601</c:v>
                </c:pt>
                <c:pt idx="4">
                  <c:v>1.4368262739973601</c:v>
                </c:pt>
                <c:pt idx="5">
                  <c:v>1.4368262739973601</c:v>
                </c:pt>
                <c:pt idx="6">
                  <c:v>2.4905493340587901</c:v>
                </c:pt>
                <c:pt idx="7">
                  <c:v>2.4905493340587901</c:v>
                </c:pt>
                <c:pt idx="8">
                  <c:v>2.4905493340587901</c:v>
                </c:pt>
                <c:pt idx="9">
                  <c:v>3.855</c:v>
                </c:pt>
                <c:pt idx="10">
                  <c:v>3.855</c:v>
                </c:pt>
                <c:pt idx="11">
                  <c:v>3.855</c:v>
                </c:pt>
                <c:pt idx="12">
                  <c:v>5.4782042149448502</c:v>
                </c:pt>
                <c:pt idx="13">
                  <c:v>5.4782042149448502</c:v>
                </c:pt>
                <c:pt idx="14">
                  <c:v>5.4782042149448502</c:v>
                </c:pt>
                <c:pt idx="15">
                  <c:v>6.2489999999999997</c:v>
                </c:pt>
                <c:pt idx="16">
                  <c:v>6.2489999999999997</c:v>
                </c:pt>
                <c:pt idx="17">
                  <c:v>6.2489999999999997</c:v>
                </c:pt>
                <c:pt idx="18">
                  <c:v>7.9485854277214001</c:v>
                </c:pt>
                <c:pt idx="19">
                  <c:v>7.9485854277214001</c:v>
                </c:pt>
                <c:pt idx="20">
                  <c:v>7.9485854277214001</c:v>
                </c:pt>
                <c:pt idx="21">
                  <c:v>9.6077296533960403</c:v>
                </c:pt>
                <c:pt idx="22">
                  <c:v>9.6077296533960403</c:v>
                </c:pt>
                <c:pt idx="23">
                  <c:v>9.6077296533960403</c:v>
                </c:pt>
                <c:pt idx="24">
                  <c:v>8.8979999999999997</c:v>
                </c:pt>
                <c:pt idx="25">
                  <c:v>8.8979999999999997</c:v>
                </c:pt>
                <c:pt idx="26">
                  <c:v>8.8979999999999997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9D-3D4F-8318-C8D643319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6391104"/>
        <c:axId val="1135956496"/>
      </c:scatterChart>
      <c:valAx>
        <c:axId val="113639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SE"/>
          </a:p>
        </c:txPr>
        <c:crossAx val="1135956496"/>
        <c:crosses val="autoZero"/>
        <c:crossBetween val="midCat"/>
      </c:valAx>
      <c:valAx>
        <c:axId val="113595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SE"/>
          </a:p>
        </c:txPr>
        <c:crossAx val="1136391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7456359102244387E-2"/>
          <c:y val="4.4247787610619468E-2"/>
          <c:w val="0.9"/>
          <c:h val="5.21856293848827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774700</xdr:colOff>
      <xdr:row>9</xdr:row>
      <xdr:rowOff>50800</xdr:rowOff>
    </xdr:from>
    <xdr:to>
      <xdr:col>11</xdr:col>
      <xdr:colOff>203200</xdr:colOff>
      <xdr:row>32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505DEF-155A-3757-5B16-D090ADF44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x.doi.org/10.1016/j.celrep.2017.06.014" TargetMode="External"/><Relationship Id="rId3" Type="http://schemas.openxmlformats.org/officeDocument/2006/relationships/hyperlink" Target="https://doi.org/10.1016/j.jprot.2016.07.005" TargetMode="External"/><Relationship Id="rId7" Type="http://schemas.openxmlformats.org/officeDocument/2006/relationships/hyperlink" Target="https://www.nature.com/articles/nmeth.2834" TargetMode="External"/><Relationship Id="rId2" Type="http://schemas.openxmlformats.org/officeDocument/2006/relationships/hyperlink" Target="https://doi.org/10.1101/2020.02.20.957662" TargetMode="External"/><Relationship Id="rId1" Type="http://schemas.openxmlformats.org/officeDocument/2006/relationships/hyperlink" Target="https://doi.org/10.1038/s41467-022-28467-6" TargetMode="External"/><Relationship Id="rId6" Type="http://schemas.openxmlformats.org/officeDocument/2006/relationships/hyperlink" Target="https://www.nature.com/articles/nature02046" TargetMode="External"/><Relationship Id="rId5" Type="http://schemas.openxmlformats.org/officeDocument/2006/relationships/hyperlink" Target="https://doi.org/10.1016/j.cels.2017.12.004" TargetMode="External"/><Relationship Id="rId4" Type="http://schemas.openxmlformats.org/officeDocument/2006/relationships/hyperlink" Target="https://doi.org/10.1038/s41589-024-01571-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cell_cycle@" TargetMode="External"/><Relationship Id="rId13" Type="http://schemas.openxmlformats.org/officeDocument/2006/relationships/hyperlink" Target="mailto:cell_cycle@" TargetMode="External"/><Relationship Id="rId18" Type="http://schemas.openxmlformats.org/officeDocument/2006/relationships/hyperlink" Target="mailto:cell_cycle@" TargetMode="External"/><Relationship Id="rId26" Type="http://schemas.openxmlformats.org/officeDocument/2006/relationships/hyperlink" Target="mailto:cell_cycle@" TargetMode="External"/><Relationship Id="rId3" Type="http://schemas.openxmlformats.org/officeDocument/2006/relationships/hyperlink" Target="mailto:cell_cycle@" TargetMode="External"/><Relationship Id="rId21" Type="http://schemas.openxmlformats.org/officeDocument/2006/relationships/hyperlink" Target="mailto:cell_cycle@" TargetMode="External"/><Relationship Id="rId7" Type="http://schemas.openxmlformats.org/officeDocument/2006/relationships/hyperlink" Target="mailto:cell_cycle@" TargetMode="External"/><Relationship Id="rId12" Type="http://schemas.openxmlformats.org/officeDocument/2006/relationships/hyperlink" Target="mailto:cell_cycle@" TargetMode="External"/><Relationship Id="rId17" Type="http://schemas.openxmlformats.org/officeDocument/2006/relationships/hyperlink" Target="mailto:cell_cycle@" TargetMode="External"/><Relationship Id="rId25" Type="http://schemas.openxmlformats.org/officeDocument/2006/relationships/hyperlink" Target="mailto:cell_cycle@" TargetMode="External"/><Relationship Id="rId2" Type="http://schemas.openxmlformats.org/officeDocument/2006/relationships/hyperlink" Target="mailto:cell_cycle@" TargetMode="External"/><Relationship Id="rId16" Type="http://schemas.openxmlformats.org/officeDocument/2006/relationships/hyperlink" Target="mailto:cell_cycle@" TargetMode="External"/><Relationship Id="rId20" Type="http://schemas.openxmlformats.org/officeDocument/2006/relationships/hyperlink" Target="mailto:cell_cycle@" TargetMode="External"/><Relationship Id="rId29" Type="http://schemas.openxmlformats.org/officeDocument/2006/relationships/hyperlink" Target="mailto:cell_cycle@" TargetMode="External"/><Relationship Id="rId1" Type="http://schemas.openxmlformats.org/officeDocument/2006/relationships/hyperlink" Target="mailto:cell_cycle@" TargetMode="External"/><Relationship Id="rId6" Type="http://schemas.openxmlformats.org/officeDocument/2006/relationships/hyperlink" Target="mailto:cell_cycle@" TargetMode="External"/><Relationship Id="rId11" Type="http://schemas.openxmlformats.org/officeDocument/2006/relationships/hyperlink" Target="mailto:cell_cycle@" TargetMode="External"/><Relationship Id="rId24" Type="http://schemas.openxmlformats.org/officeDocument/2006/relationships/hyperlink" Target="mailto:cell_cycle@" TargetMode="External"/><Relationship Id="rId5" Type="http://schemas.openxmlformats.org/officeDocument/2006/relationships/hyperlink" Target="mailto:cell_cycle@" TargetMode="External"/><Relationship Id="rId15" Type="http://schemas.openxmlformats.org/officeDocument/2006/relationships/hyperlink" Target="mailto:cell_cycle@" TargetMode="External"/><Relationship Id="rId23" Type="http://schemas.openxmlformats.org/officeDocument/2006/relationships/hyperlink" Target="mailto:cell_cycle@" TargetMode="External"/><Relationship Id="rId28" Type="http://schemas.openxmlformats.org/officeDocument/2006/relationships/hyperlink" Target="mailto:cell_cycle@" TargetMode="External"/><Relationship Id="rId10" Type="http://schemas.openxmlformats.org/officeDocument/2006/relationships/hyperlink" Target="mailto:cell_cycle@" TargetMode="External"/><Relationship Id="rId19" Type="http://schemas.openxmlformats.org/officeDocument/2006/relationships/hyperlink" Target="mailto:cell_cycle@" TargetMode="External"/><Relationship Id="rId4" Type="http://schemas.openxmlformats.org/officeDocument/2006/relationships/hyperlink" Target="mailto:cell_cycle@" TargetMode="External"/><Relationship Id="rId9" Type="http://schemas.openxmlformats.org/officeDocument/2006/relationships/hyperlink" Target="mailto:cell_cycle@" TargetMode="External"/><Relationship Id="rId14" Type="http://schemas.openxmlformats.org/officeDocument/2006/relationships/hyperlink" Target="mailto:cell_cycle@" TargetMode="External"/><Relationship Id="rId22" Type="http://schemas.openxmlformats.org/officeDocument/2006/relationships/hyperlink" Target="mailto:cell_cycle@" TargetMode="External"/><Relationship Id="rId27" Type="http://schemas.openxmlformats.org/officeDocument/2006/relationships/hyperlink" Target="mailto:cell_cycle@" TargetMode="External"/><Relationship Id="rId30" Type="http://schemas.openxmlformats.org/officeDocument/2006/relationships/hyperlink" Target="mailto:cell_cycle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22EE-2E06-6741-B451-D4EA064EAB2E}">
  <dimension ref="A1:AF301"/>
  <sheetViews>
    <sheetView zoomScaleNormal="141" workbookViewId="0">
      <pane xSplit="1" ySplit="1" topLeftCell="B261" activePane="bottomRight" state="frozen"/>
      <selection pane="topRight" activeCell="B1" sqref="B1"/>
      <selection pane="bottomLeft" activeCell="A2" sqref="A2"/>
      <selection pane="bottomRight" activeCell="A295" sqref="A295"/>
    </sheetView>
  </sheetViews>
  <sheetFormatPr baseColWidth="10" defaultRowHeight="16"/>
  <cols>
    <col min="1" max="2" width="27.6640625" style="5" customWidth="1"/>
    <col min="3" max="3" width="22" style="5" customWidth="1"/>
    <col min="4" max="4" width="41.5" style="27" customWidth="1"/>
    <col min="5" max="5" width="26.5" style="5" customWidth="1"/>
    <col min="6" max="6" width="38.1640625" style="5" customWidth="1"/>
    <col min="7" max="7" width="25.33203125" style="5" customWidth="1"/>
    <col min="8" max="8" width="37.1640625" style="5" customWidth="1"/>
    <col min="9" max="9" width="27.5" style="5" customWidth="1"/>
    <col min="10" max="10" width="16.83203125" style="5" customWidth="1"/>
    <col min="11" max="11" width="22.6640625" style="5" customWidth="1"/>
    <col min="12" max="12" width="18.83203125" style="5" bestFit="1" customWidth="1"/>
    <col min="13" max="13" width="18.1640625" style="5" bestFit="1" customWidth="1"/>
    <col min="14" max="14" width="18.33203125" style="5" bestFit="1" customWidth="1"/>
    <col min="15" max="15" width="17.33203125" style="5" bestFit="1" customWidth="1"/>
    <col min="16" max="16" width="22.6640625" style="5" bestFit="1" customWidth="1"/>
    <col min="17" max="17" width="19.5" style="5" bestFit="1" customWidth="1"/>
    <col min="18" max="18" width="18.33203125" style="5" bestFit="1" customWidth="1"/>
    <col min="19" max="19" width="17.83203125" style="5" bestFit="1" customWidth="1"/>
    <col min="20" max="20" width="18.1640625" style="5" bestFit="1" customWidth="1"/>
    <col min="21" max="21" width="22.1640625" style="5" bestFit="1" customWidth="1"/>
    <col min="22" max="22" width="18.6640625" style="5" bestFit="1" customWidth="1"/>
    <col min="23" max="23" width="17.6640625" style="5" bestFit="1" customWidth="1"/>
    <col min="24" max="24" width="28" style="5" bestFit="1" customWidth="1"/>
    <col min="25" max="25" width="14.1640625" style="5" bestFit="1" customWidth="1"/>
    <col min="26" max="26" width="30.5" style="5" bestFit="1" customWidth="1"/>
    <col min="27" max="27" width="14.5" style="5" bestFit="1" customWidth="1"/>
    <col min="28" max="28" width="8.6640625" style="5" bestFit="1" customWidth="1"/>
    <col min="29" max="29" width="16.5" style="5" bestFit="1" customWidth="1"/>
    <col min="30" max="30" width="23.83203125" style="5" bestFit="1" customWidth="1"/>
    <col min="31" max="31" width="28.5" style="5" customWidth="1"/>
    <col min="32" max="32" width="23" style="5" customWidth="1"/>
    <col min="33" max="16384" width="10.83203125" style="5"/>
  </cols>
  <sheetData>
    <row r="1" spans="1:32" s="28" customFormat="1" ht="19">
      <c r="A1" s="28" t="s">
        <v>481</v>
      </c>
      <c r="B1" s="28" t="s">
        <v>517</v>
      </c>
      <c r="C1" s="28" t="s">
        <v>105</v>
      </c>
      <c r="D1" s="28" t="s">
        <v>275</v>
      </c>
      <c r="E1" s="28" t="s">
        <v>168</v>
      </c>
      <c r="F1" s="28" t="s">
        <v>274</v>
      </c>
      <c r="G1" s="28" t="s">
        <v>127</v>
      </c>
      <c r="H1" s="78" t="s">
        <v>516</v>
      </c>
      <c r="I1" s="28" t="s">
        <v>171</v>
      </c>
      <c r="J1" s="28" t="s">
        <v>84</v>
      </c>
      <c r="K1" s="28" t="s">
        <v>1</v>
      </c>
      <c r="L1" s="28" t="s">
        <v>2</v>
      </c>
      <c r="M1" s="28" t="s">
        <v>3</v>
      </c>
      <c r="N1" s="28" t="s">
        <v>4</v>
      </c>
      <c r="O1" s="28" t="s">
        <v>5</v>
      </c>
      <c r="P1" s="28" t="s">
        <v>6</v>
      </c>
      <c r="Q1" s="28" t="s">
        <v>7</v>
      </c>
      <c r="R1" s="28" t="s">
        <v>8</v>
      </c>
      <c r="S1" s="28" t="s">
        <v>9</v>
      </c>
      <c r="T1" s="28" t="s">
        <v>10</v>
      </c>
      <c r="U1" s="28" t="s">
        <v>11</v>
      </c>
      <c r="V1" s="28" t="s">
        <v>12</v>
      </c>
      <c r="W1" s="28" t="s">
        <v>13</v>
      </c>
      <c r="X1" s="28" t="s">
        <v>85</v>
      </c>
      <c r="Y1" s="28" t="s">
        <v>83</v>
      </c>
      <c r="Z1" s="28" t="s">
        <v>86</v>
      </c>
      <c r="AA1" s="28" t="s">
        <v>87</v>
      </c>
      <c r="AB1" s="28" t="s">
        <v>88</v>
      </c>
      <c r="AC1" s="28" t="s">
        <v>89</v>
      </c>
      <c r="AD1" s="28" t="s">
        <v>90</v>
      </c>
      <c r="AE1" s="28" t="s">
        <v>91</v>
      </c>
      <c r="AF1" s="28" t="s">
        <v>92</v>
      </c>
    </row>
    <row r="2" spans="1:32" s="13" customFormat="1">
      <c r="A2" s="10" t="s">
        <v>385</v>
      </c>
      <c r="B2" s="10" t="s">
        <v>527</v>
      </c>
      <c r="C2" s="10" t="s">
        <v>483</v>
      </c>
      <c r="D2" s="10" t="s">
        <v>325</v>
      </c>
      <c r="E2" s="10" t="s">
        <v>169</v>
      </c>
      <c r="F2" s="10" t="s">
        <v>356</v>
      </c>
      <c r="G2" s="10" t="s">
        <v>128</v>
      </c>
      <c r="H2" s="58" t="s">
        <v>394</v>
      </c>
      <c r="I2" s="22" t="s">
        <v>172</v>
      </c>
      <c r="X2" s="29">
        <v>20</v>
      </c>
      <c r="Y2" s="29" t="s">
        <v>93</v>
      </c>
    </row>
    <row r="3" spans="1:32">
      <c r="A3" s="6" t="s">
        <v>386</v>
      </c>
      <c r="B3" s="10" t="s">
        <v>527</v>
      </c>
      <c r="C3" s="10" t="s">
        <v>483</v>
      </c>
      <c r="D3" s="6" t="s">
        <v>325</v>
      </c>
      <c r="E3" s="6" t="s">
        <v>169</v>
      </c>
      <c r="F3" s="6" t="s">
        <v>356</v>
      </c>
      <c r="G3" s="6" t="s">
        <v>128</v>
      </c>
      <c r="H3" s="59" t="s">
        <v>394</v>
      </c>
      <c r="I3" s="12" t="s">
        <v>172</v>
      </c>
      <c r="X3" s="30">
        <v>20</v>
      </c>
      <c r="Y3" s="30" t="s">
        <v>93</v>
      </c>
    </row>
    <row r="4" spans="1:32">
      <c r="A4" s="6" t="s">
        <v>387</v>
      </c>
      <c r="B4" s="10" t="s">
        <v>527</v>
      </c>
      <c r="C4" s="10" t="s">
        <v>483</v>
      </c>
      <c r="D4" s="6" t="s">
        <v>325</v>
      </c>
      <c r="E4" s="6" t="s">
        <v>169</v>
      </c>
      <c r="F4" s="6" t="s">
        <v>356</v>
      </c>
      <c r="G4" s="6" t="s">
        <v>128</v>
      </c>
      <c r="H4" s="59" t="s">
        <v>394</v>
      </c>
      <c r="I4" s="12" t="s">
        <v>172</v>
      </c>
      <c r="X4" s="30">
        <v>20</v>
      </c>
      <c r="Y4" s="30" t="s">
        <v>93</v>
      </c>
    </row>
    <row r="5" spans="1:32">
      <c r="A5" s="6" t="s">
        <v>388</v>
      </c>
      <c r="B5" s="10" t="s">
        <v>527</v>
      </c>
      <c r="C5" s="10" t="s">
        <v>483</v>
      </c>
      <c r="D5" s="6" t="s">
        <v>325</v>
      </c>
      <c r="E5" s="6" t="s">
        <v>169</v>
      </c>
      <c r="F5" s="6" t="s">
        <v>356</v>
      </c>
      <c r="G5" s="6"/>
      <c r="H5" s="59" t="s">
        <v>395</v>
      </c>
      <c r="I5" s="12"/>
      <c r="X5" s="30"/>
      <c r="Y5" s="30"/>
    </row>
    <row r="6" spans="1:32">
      <c r="A6" s="6" t="s">
        <v>389</v>
      </c>
      <c r="B6" s="10" t="s">
        <v>527</v>
      </c>
      <c r="C6" s="10" t="s">
        <v>483</v>
      </c>
      <c r="D6" s="6" t="s">
        <v>325</v>
      </c>
      <c r="E6" s="6" t="s">
        <v>169</v>
      </c>
      <c r="F6" s="6" t="s">
        <v>356</v>
      </c>
      <c r="G6" s="6"/>
      <c r="H6" s="59" t="s">
        <v>395</v>
      </c>
      <c r="I6" s="12"/>
      <c r="X6" s="30"/>
      <c r="Y6" s="30"/>
    </row>
    <row r="7" spans="1:32">
      <c r="A7" s="6" t="s">
        <v>390</v>
      </c>
      <c r="B7" s="10" t="s">
        <v>527</v>
      </c>
      <c r="C7" s="10" t="s">
        <v>483</v>
      </c>
      <c r="D7" s="6" t="s">
        <v>325</v>
      </c>
      <c r="E7" s="6" t="s">
        <v>169</v>
      </c>
      <c r="F7" s="6" t="s">
        <v>356</v>
      </c>
      <c r="G7" s="6"/>
      <c r="H7" s="59" t="s">
        <v>395</v>
      </c>
      <c r="I7" s="12"/>
      <c r="X7" s="30"/>
      <c r="Y7" s="30"/>
    </row>
    <row r="8" spans="1:32">
      <c r="A8" s="6" t="s">
        <v>391</v>
      </c>
      <c r="B8" s="10" t="s">
        <v>527</v>
      </c>
      <c r="C8" s="10" t="s">
        <v>483</v>
      </c>
      <c r="D8" s="6" t="s">
        <v>325</v>
      </c>
      <c r="E8" s="6" t="s">
        <v>169</v>
      </c>
      <c r="F8" s="6" t="s">
        <v>356</v>
      </c>
      <c r="G8" s="6"/>
      <c r="H8" s="59" t="s">
        <v>396</v>
      </c>
      <c r="I8" s="12"/>
      <c r="X8" s="30"/>
      <c r="Y8" s="30"/>
    </row>
    <row r="9" spans="1:32">
      <c r="A9" s="6" t="s">
        <v>392</v>
      </c>
      <c r="B9" s="10" t="s">
        <v>527</v>
      </c>
      <c r="C9" s="10" t="s">
        <v>483</v>
      </c>
      <c r="D9" s="6" t="s">
        <v>325</v>
      </c>
      <c r="E9" s="6" t="s">
        <v>169</v>
      </c>
      <c r="F9" s="6" t="s">
        <v>356</v>
      </c>
      <c r="G9" s="6"/>
      <c r="H9" s="59" t="s">
        <v>396</v>
      </c>
      <c r="I9" s="12"/>
      <c r="X9" s="30"/>
      <c r="Y9" s="30"/>
    </row>
    <row r="10" spans="1:32" s="14" customFormat="1">
      <c r="A10" s="11" t="s">
        <v>393</v>
      </c>
      <c r="B10" s="10" t="s">
        <v>527</v>
      </c>
      <c r="C10" s="10" t="s">
        <v>483</v>
      </c>
      <c r="D10" s="11" t="s">
        <v>325</v>
      </c>
      <c r="E10" s="11" t="s">
        <v>169</v>
      </c>
      <c r="F10" s="11" t="s">
        <v>356</v>
      </c>
      <c r="G10" s="11"/>
      <c r="H10" s="60" t="s">
        <v>396</v>
      </c>
      <c r="I10" s="23"/>
      <c r="X10" s="31"/>
      <c r="Y10" s="31"/>
    </row>
    <row r="11" spans="1:32" s="32" customFormat="1">
      <c r="A11" s="64" t="s">
        <v>14</v>
      </c>
      <c r="B11" s="10" t="s">
        <v>527</v>
      </c>
      <c r="C11" s="25" t="s">
        <v>484</v>
      </c>
      <c r="D11" s="25" t="s">
        <v>310</v>
      </c>
      <c r="E11" s="25" t="s">
        <v>170</v>
      </c>
      <c r="F11" s="25" t="s">
        <v>357</v>
      </c>
      <c r="G11" s="25" t="s">
        <v>128</v>
      </c>
      <c r="H11" s="64" t="s">
        <v>14</v>
      </c>
      <c r="I11" s="26" t="s">
        <v>172</v>
      </c>
      <c r="J11" s="32">
        <v>0.42399999999999999</v>
      </c>
      <c r="K11" s="32">
        <v>18.79</v>
      </c>
      <c r="Q11" s="32">
        <v>26.97</v>
      </c>
      <c r="R11" s="32">
        <v>0.56599999999999995</v>
      </c>
      <c r="S11" s="32">
        <v>0.16300000000000001</v>
      </c>
      <c r="T11" s="32">
        <v>3.6499999999999998E-2</v>
      </c>
      <c r="U11" s="32">
        <v>1.4690000000000001</v>
      </c>
      <c r="V11" s="32">
        <v>24.501999999999999</v>
      </c>
      <c r="W11" s="32">
        <v>2.919</v>
      </c>
      <c r="X11" s="32">
        <v>20</v>
      </c>
      <c r="Y11" s="32" t="s">
        <v>93</v>
      </c>
    </row>
    <row r="12" spans="1:32">
      <c r="A12" s="65" t="s">
        <v>15</v>
      </c>
      <c r="B12" s="10" t="s">
        <v>527</v>
      </c>
      <c r="C12" s="6" t="s">
        <v>485</v>
      </c>
      <c r="D12" s="6" t="s">
        <v>324</v>
      </c>
      <c r="E12" s="6" t="s">
        <v>170</v>
      </c>
      <c r="F12" s="6" t="s">
        <v>357</v>
      </c>
      <c r="G12" s="6" t="s">
        <v>167</v>
      </c>
      <c r="H12" s="59" t="s">
        <v>361</v>
      </c>
      <c r="I12" s="12" t="s">
        <v>172</v>
      </c>
      <c r="J12" s="5">
        <v>0.05</v>
      </c>
      <c r="K12" s="33">
        <v>0.82299999999999995</v>
      </c>
      <c r="L12" s="33">
        <v>0.13100000000000001</v>
      </c>
      <c r="M12" s="33"/>
      <c r="N12" s="33"/>
      <c r="O12" s="33"/>
      <c r="P12" s="33">
        <v>0.13100000000000001</v>
      </c>
      <c r="Q12" s="33">
        <v>0</v>
      </c>
      <c r="R12" s="33">
        <v>0</v>
      </c>
      <c r="S12" s="33">
        <v>7.2308500000000005E-4</v>
      </c>
      <c r="T12" s="33">
        <v>0</v>
      </c>
      <c r="U12" s="33">
        <v>4.0285879999999996E-3</v>
      </c>
      <c r="V12" s="33">
        <v>2.4449999999999998</v>
      </c>
      <c r="W12" s="33">
        <v>2.3620000000000001</v>
      </c>
      <c r="X12" s="5">
        <v>7.5</v>
      </c>
      <c r="Y12" s="5" t="s">
        <v>93</v>
      </c>
      <c r="Z12" s="5">
        <v>0.5</v>
      </c>
      <c r="AA12" s="5" t="s">
        <v>94</v>
      </c>
      <c r="AB12" s="5">
        <v>30</v>
      </c>
      <c r="AC12" s="5" t="s">
        <v>95</v>
      </c>
      <c r="AD12" s="5">
        <v>2.1734E-2</v>
      </c>
      <c r="AE12" s="5">
        <v>0.27251471399999999</v>
      </c>
    </row>
    <row r="13" spans="1:32">
      <c r="A13" s="65" t="s">
        <v>16</v>
      </c>
      <c r="B13" s="10" t="s">
        <v>527</v>
      </c>
      <c r="C13" s="6" t="s">
        <v>485</v>
      </c>
      <c r="D13" s="6" t="s">
        <v>324</v>
      </c>
      <c r="E13" s="6" t="s">
        <v>170</v>
      </c>
      <c r="F13" s="6" t="s">
        <v>357</v>
      </c>
      <c r="G13" s="6" t="s">
        <v>167</v>
      </c>
      <c r="H13" s="59" t="s">
        <v>361</v>
      </c>
      <c r="I13" s="12" t="s">
        <v>172</v>
      </c>
      <c r="J13" s="5">
        <v>0.05</v>
      </c>
      <c r="K13" s="33">
        <v>0.70399999999999996</v>
      </c>
      <c r="L13" s="33">
        <v>8.6999999999999994E-2</v>
      </c>
      <c r="M13" s="33"/>
      <c r="N13" s="33"/>
      <c r="O13" s="33"/>
      <c r="P13" s="33">
        <v>8.6999999999999994E-2</v>
      </c>
      <c r="Q13" s="33">
        <v>0</v>
      </c>
      <c r="R13" s="33">
        <v>0</v>
      </c>
      <c r="S13" s="33">
        <v>1.6583900000000001E-4</v>
      </c>
      <c r="T13" s="33">
        <v>0</v>
      </c>
      <c r="U13" s="33">
        <v>6.6796169999999997E-3</v>
      </c>
      <c r="V13" s="33">
        <v>2.105</v>
      </c>
      <c r="W13" s="33">
        <v>2.2759999999999998</v>
      </c>
      <c r="X13" s="5">
        <v>7.5</v>
      </c>
      <c r="Y13" s="5" t="s">
        <v>93</v>
      </c>
      <c r="Z13" s="5">
        <v>0.5</v>
      </c>
      <c r="AA13" s="5" t="s">
        <v>94</v>
      </c>
      <c r="AB13" s="5">
        <v>30</v>
      </c>
      <c r="AC13" s="5" t="s">
        <v>95</v>
      </c>
      <c r="AD13" s="5">
        <v>2.4941000000000001E-2</v>
      </c>
      <c r="AE13" s="5">
        <v>0.25082010700000001</v>
      </c>
    </row>
    <row r="14" spans="1:32">
      <c r="A14" s="65" t="s">
        <v>17</v>
      </c>
      <c r="B14" s="10" t="s">
        <v>527</v>
      </c>
      <c r="C14" s="6" t="s">
        <v>485</v>
      </c>
      <c r="D14" s="6" t="s">
        <v>324</v>
      </c>
      <c r="E14" s="6" t="s">
        <v>170</v>
      </c>
      <c r="F14" s="6" t="s">
        <v>357</v>
      </c>
      <c r="G14" s="6" t="s">
        <v>167</v>
      </c>
      <c r="H14" s="59" t="s">
        <v>361</v>
      </c>
      <c r="I14" s="12" t="s">
        <v>172</v>
      </c>
      <c r="J14" s="5">
        <v>0.05</v>
      </c>
      <c r="K14" s="33">
        <v>0.76800000000000002</v>
      </c>
      <c r="L14" s="33">
        <v>0.14000000000000001</v>
      </c>
      <c r="M14" s="33"/>
      <c r="N14" s="33"/>
      <c r="O14" s="33"/>
      <c r="P14" s="33">
        <v>0.14000000000000001</v>
      </c>
      <c r="Q14" s="33">
        <v>0</v>
      </c>
      <c r="R14" s="33">
        <v>0</v>
      </c>
      <c r="S14" s="33">
        <v>3.81541E-4</v>
      </c>
      <c r="T14" s="33">
        <v>0</v>
      </c>
      <c r="U14" s="33">
        <v>9.7823159999999992E-3</v>
      </c>
      <c r="V14" s="33">
        <v>2.383</v>
      </c>
      <c r="W14" s="33">
        <v>1.6240000000000001</v>
      </c>
      <c r="X14" s="5">
        <v>7.5</v>
      </c>
      <c r="Y14" s="5" t="s">
        <v>93</v>
      </c>
      <c r="Z14" s="5">
        <v>0.5</v>
      </c>
      <c r="AA14" s="5" t="s">
        <v>94</v>
      </c>
      <c r="AB14" s="5">
        <v>30</v>
      </c>
      <c r="AC14" s="5" t="s">
        <v>95</v>
      </c>
      <c r="AD14" s="5">
        <v>2.5831E-2</v>
      </c>
      <c r="AE14" s="5">
        <v>0.26109650000000001</v>
      </c>
    </row>
    <row r="15" spans="1:32">
      <c r="A15" s="65" t="s">
        <v>18</v>
      </c>
      <c r="B15" s="10" t="s">
        <v>527</v>
      </c>
      <c r="C15" s="6" t="s">
        <v>485</v>
      </c>
      <c r="D15" s="6" t="s">
        <v>324</v>
      </c>
      <c r="E15" s="6" t="s">
        <v>170</v>
      </c>
      <c r="F15" s="6" t="s">
        <v>357</v>
      </c>
      <c r="G15" s="6" t="s">
        <v>167</v>
      </c>
      <c r="H15" s="59" t="s">
        <v>362</v>
      </c>
      <c r="I15" s="12" t="s">
        <v>172</v>
      </c>
      <c r="J15" s="5">
        <v>0.1</v>
      </c>
      <c r="K15" s="33">
        <v>1.18</v>
      </c>
      <c r="L15" s="33">
        <v>2.2029999999999998</v>
      </c>
      <c r="M15" s="33"/>
      <c r="N15" s="33"/>
      <c r="O15" s="33"/>
      <c r="P15" s="33">
        <v>2.2029999999999998</v>
      </c>
      <c r="Q15" s="33">
        <v>0</v>
      </c>
      <c r="R15" s="33">
        <v>0</v>
      </c>
      <c r="S15" s="33">
        <v>1.2795499999999999E-4</v>
      </c>
      <c r="T15" s="33">
        <v>0</v>
      </c>
      <c r="U15" s="33">
        <v>0</v>
      </c>
      <c r="V15" s="33">
        <v>1.93</v>
      </c>
      <c r="W15" s="33">
        <v>2.44</v>
      </c>
      <c r="X15" s="5">
        <v>7.5</v>
      </c>
      <c r="Y15" s="5" t="s">
        <v>93</v>
      </c>
      <c r="Z15" s="5">
        <v>5</v>
      </c>
      <c r="AA15" s="5" t="s">
        <v>96</v>
      </c>
      <c r="AB15" s="5">
        <v>3</v>
      </c>
      <c r="AC15" s="5" t="s">
        <v>97</v>
      </c>
      <c r="AD15" s="5">
        <v>5.3443999999999998E-2</v>
      </c>
      <c r="AE15" s="5">
        <v>0.35967375000000001</v>
      </c>
    </row>
    <row r="16" spans="1:32">
      <c r="A16" s="65" t="s">
        <v>19</v>
      </c>
      <c r="B16" s="10" t="s">
        <v>527</v>
      </c>
      <c r="C16" s="6" t="s">
        <v>485</v>
      </c>
      <c r="D16" s="6" t="s">
        <v>324</v>
      </c>
      <c r="E16" s="6" t="s">
        <v>170</v>
      </c>
      <c r="F16" s="6" t="s">
        <v>357</v>
      </c>
      <c r="G16" s="6" t="s">
        <v>167</v>
      </c>
      <c r="H16" s="59" t="s">
        <v>362</v>
      </c>
      <c r="I16" s="12" t="s">
        <v>172</v>
      </c>
      <c r="J16" s="5">
        <v>0.1</v>
      </c>
      <c r="K16" s="33">
        <v>1.127</v>
      </c>
      <c r="L16" s="33">
        <v>2.0979999999999999</v>
      </c>
      <c r="M16" s="33"/>
      <c r="N16" s="33"/>
      <c r="O16" s="33"/>
      <c r="P16" s="33">
        <v>2.0979999999999999</v>
      </c>
      <c r="Q16" s="33">
        <v>1.6766474999999999E-2</v>
      </c>
      <c r="R16" s="33">
        <v>0</v>
      </c>
      <c r="S16" s="33">
        <v>1.5726999999999999E-4</v>
      </c>
      <c r="T16" s="33">
        <v>0</v>
      </c>
      <c r="U16" s="33">
        <v>0</v>
      </c>
      <c r="V16" s="33">
        <v>2.0699999999999998</v>
      </c>
      <c r="W16" s="33">
        <v>2.39</v>
      </c>
      <c r="X16" s="5">
        <v>7.5</v>
      </c>
      <c r="Y16" s="5" t="s">
        <v>93</v>
      </c>
      <c r="Z16" s="5">
        <v>5</v>
      </c>
      <c r="AA16" s="5" t="s">
        <v>96</v>
      </c>
      <c r="AB16" s="5">
        <v>3</v>
      </c>
      <c r="AC16" s="5" t="s">
        <v>97</v>
      </c>
      <c r="AD16" s="5">
        <v>5.0594E-2</v>
      </c>
      <c r="AE16" s="5">
        <v>0.377942893</v>
      </c>
    </row>
    <row r="17" spans="1:31">
      <c r="A17" s="65" t="s">
        <v>20</v>
      </c>
      <c r="B17" s="10" t="s">
        <v>527</v>
      </c>
      <c r="C17" s="6" t="s">
        <v>485</v>
      </c>
      <c r="D17" s="6" t="s">
        <v>324</v>
      </c>
      <c r="E17" s="6" t="s">
        <v>170</v>
      </c>
      <c r="F17" s="6" t="s">
        <v>357</v>
      </c>
      <c r="G17" s="6" t="s">
        <v>167</v>
      </c>
      <c r="H17" s="59" t="s">
        <v>362</v>
      </c>
      <c r="I17" s="12" t="s">
        <v>172</v>
      </c>
      <c r="J17" s="5">
        <v>0.1</v>
      </c>
      <c r="K17" s="33">
        <v>1.0980000000000001</v>
      </c>
      <c r="L17" s="33">
        <v>2.0550000000000002</v>
      </c>
      <c r="M17" s="33"/>
      <c r="N17" s="33"/>
      <c r="O17" s="33"/>
      <c r="P17" s="33">
        <v>2.0550000000000002</v>
      </c>
      <c r="Q17" s="33">
        <v>0</v>
      </c>
      <c r="R17" s="33">
        <v>0</v>
      </c>
      <c r="S17" s="33">
        <v>1.3422099999999999E-4</v>
      </c>
      <c r="T17" s="33">
        <v>0</v>
      </c>
      <c r="U17" s="33">
        <v>0</v>
      </c>
      <c r="V17" s="33">
        <v>1.97</v>
      </c>
      <c r="W17" s="33">
        <v>2.1800000000000002</v>
      </c>
      <c r="X17" s="5">
        <v>7.5</v>
      </c>
      <c r="Y17" s="5" t="s">
        <v>93</v>
      </c>
      <c r="Z17" s="5">
        <v>5</v>
      </c>
      <c r="AA17" s="5" t="s">
        <v>96</v>
      </c>
      <c r="AB17" s="5">
        <v>3</v>
      </c>
      <c r="AC17" s="5" t="s">
        <v>97</v>
      </c>
      <c r="AD17" s="5">
        <v>4.5962000000000003E-2</v>
      </c>
      <c r="AE17" s="5">
        <v>0.33645671399999999</v>
      </c>
    </row>
    <row r="18" spans="1:31">
      <c r="A18" s="65" t="s">
        <v>21</v>
      </c>
      <c r="B18" s="10" t="s">
        <v>527</v>
      </c>
      <c r="C18" s="6" t="s">
        <v>485</v>
      </c>
      <c r="D18" s="6" t="s">
        <v>324</v>
      </c>
      <c r="E18" s="6" t="s">
        <v>170</v>
      </c>
      <c r="F18" s="6" t="s">
        <v>357</v>
      </c>
      <c r="G18" s="6" t="s">
        <v>167</v>
      </c>
      <c r="H18" s="59" t="s">
        <v>363</v>
      </c>
      <c r="I18" s="12" t="s">
        <v>172</v>
      </c>
      <c r="J18" s="5">
        <v>0.1</v>
      </c>
      <c r="K18" s="33">
        <v>1.51</v>
      </c>
      <c r="L18" s="33">
        <v>0.308</v>
      </c>
      <c r="M18" s="33"/>
      <c r="N18" s="33"/>
      <c r="O18" s="33"/>
      <c r="P18" s="33">
        <v>0.308</v>
      </c>
      <c r="Q18" s="33">
        <v>0</v>
      </c>
      <c r="R18" s="33">
        <v>7.5614127000000003E-2</v>
      </c>
      <c r="S18" s="33">
        <v>1.7982350000000001E-2</v>
      </c>
      <c r="T18" s="33">
        <v>0</v>
      </c>
      <c r="U18" s="33">
        <v>0</v>
      </c>
      <c r="V18" s="33">
        <v>3.4660000000000002</v>
      </c>
      <c r="W18" s="33">
        <v>3.6160000000000001</v>
      </c>
      <c r="X18" s="5">
        <v>7.5</v>
      </c>
      <c r="Y18" s="5" t="s">
        <v>93</v>
      </c>
      <c r="Z18" s="5">
        <v>0.5</v>
      </c>
      <c r="AA18" s="5" t="s">
        <v>94</v>
      </c>
      <c r="AB18" s="5">
        <v>30</v>
      </c>
      <c r="AC18" s="5" t="s">
        <v>98</v>
      </c>
      <c r="AD18" s="5">
        <v>2.2624999999999999E-2</v>
      </c>
      <c r="AE18" s="5">
        <v>0.209333929</v>
      </c>
    </row>
    <row r="19" spans="1:31">
      <c r="A19" s="65" t="s">
        <v>22</v>
      </c>
      <c r="B19" s="10" t="s">
        <v>527</v>
      </c>
      <c r="C19" s="6" t="s">
        <v>485</v>
      </c>
      <c r="D19" s="6" t="s">
        <v>324</v>
      </c>
      <c r="E19" s="6" t="s">
        <v>170</v>
      </c>
      <c r="F19" s="6" t="s">
        <v>357</v>
      </c>
      <c r="G19" s="6" t="s">
        <v>167</v>
      </c>
      <c r="H19" s="59" t="s">
        <v>363</v>
      </c>
      <c r="I19" s="12" t="s">
        <v>172</v>
      </c>
      <c r="J19" s="5">
        <v>0.1</v>
      </c>
      <c r="K19" s="33">
        <v>1.5109999999999999</v>
      </c>
      <c r="L19" s="33">
        <v>0.308</v>
      </c>
      <c r="M19" s="33"/>
      <c r="N19" s="33"/>
      <c r="O19" s="33"/>
      <c r="P19" s="33">
        <v>0.308</v>
      </c>
      <c r="Q19" s="33">
        <v>0</v>
      </c>
      <c r="R19" s="33">
        <v>4.9087042999999997E-2</v>
      </c>
      <c r="S19" s="33">
        <v>1.38432E-2</v>
      </c>
      <c r="T19" s="33">
        <v>0</v>
      </c>
      <c r="U19" s="33">
        <v>0</v>
      </c>
      <c r="V19" s="33">
        <v>3.1360000000000001</v>
      </c>
      <c r="W19" s="33">
        <v>3.5219999999999998</v>
      </c>
      <c r="X19" s="5">
        <v>7.5</v>
      </c>
      <c r="Y19" s="5" t="s">
        <v>93</v>
      </c>
      <c r="Z19" s="5">
        <v>0.5</v>
      </c>
      <c r="AA19" s="5" t="s">
        <v>94</v>
      </c>
      <c r="AB19" s="5">
        <v>30</v>
      </c>
      <c r="AC19" s="5" t="s">
        <v>98</v>
      </c>
      <c r="AD19" s="5">
        <v>2.6009999999999998E-2</v>
      </c>
      <c r="AE19" s="5">
        <v>0.22151335699999999</v>
      </c>
    </row>
    <row r="20" spans="1:31">
      <c r="A20" s="65" t="s">
        <v>23</v>
      </c>
      <c r="B20" s="10" t="s">
        <v>527</v>
      </c>
      <c r="C20" s="6" t="s">
        <v>485</v>
      </c>
      <c r="D20" s="6" t="s">
        <v>324</v>
      </c>
      <c r="E20" s="6" t="s">
        <v>170</v>
      </c>
      <c r="F20" s="6" t="s">
        <v>357</v>
      </c>
      <c r="G20" s="6" t="s">
        <v>167</v>
      </c>
      <c r="H20" s="59" t="s">
        <v>363</v>
      </c>
      <c r="I20" s="12" t="s">
        <v>172</v>
      </c>
      <c r="J20" s="5">
        <v>0.1</v>
      </c>
      <c r="K20" s="33">
        <v>1.4890000000000001</v>
      </c>
      <c r="L20" s="33">
        <v>0.30399999999999999</v>
      </c>
      <c r="M20" s="33"/>
      <c r="N20" s="33"/>
      <c r="O20" s="33"/>
      <c r="P20" s="33">
        <v>0.30399999999999999</v>
      </c>
      <c r="Q20" s="33">
        <v>0</v>
      </c>
      <c r="R20" s="33">
        <v>6.6037847999999996E-2</v>
      </c>
      <c r="S20" s="33">
        <v>1.602926E-2</v>
      </c>
      <c r="T20" s="33">
        <v>0</v>
      </c>
      <c r="U20" s="33">
        <v>0</v>
      </c>
      <c r="V20" s="33">
        <v>3.161</v>
      </c>
      <c r="W20" s="33">
        <v>3.8239999999999998</v>
      </c>
      <c r="X20" s="5">
        <v>7.5</v>
      </c>
      <c r="Y20" s="5" t="s">
        <v>93</v>
      </c>
      <c r="Z20" s="5">
        <v>0.5</v>
      </c>
      <c r="AA20" s="5" t="s">
        <v>94</v>
      </c>
      <c r="AB20" s="5">
        <v>30</v>
      </c>
      <c r="AC20" s="5" t="s">
        <v>98</v>
      </c>
      <c r="AD20" s="5">
        <v>2.7257E-2</v>
      </c>
      <c r="AE20" s="5">
        <v>0.24587221400000001</v>
      </c>
    </row>
    <row r="21" spans="1:31">
      <c r="A21" s="65" t="s">
        <v>24</v>
      </c>
      <c r="B21" s="10" t="s">
        <v>527</v>
      </c>
      <c r="C21" s="6" t="s">
        <v>485</v>
      </c>
      <c r="D21" s="6" t="s">
        <v>324</v>
      </c>
      <c r="E21" s="6" t="s">
        <v>170</v>
      </c>
      <c r="F21" s="6" t="s">
        <v>357</v>
      </c>
      <c r="G21" s="6" t="s">
        <v>167</v>
      </c>
      <c r="H21" s="59" t="s">
        <v>364</v>
      </c>
      <c r="I21" s="12" t="s">
        <v>172</v>
      </c>
      <c r="J21" s="5">
        <v>0.13</v>
      </c>
      <c r="K21" s="33">
        <v>2.0190000000000001</v>
      </c>
      <c r="L21" s="33">
        <v>0.41499999999999998</v>
      </c>
      <c r="M21" s="33"/>
      <c r="N21" s="33"/>
      <c r="O21" s="33"/>
      <c r="P21" s="33">
        <v>0.41499999999999998</v>
      </c>
      <c r="Q21" s="33">
        <v>0.14387805000000001</v>
      </c>
      <c r="R21" s="33">
        <v>0.23128044</v>
      </c>
      <c r="S21" s="33">
        <v>2.4418572999999999E-2</v>
      </c>
      <c r="T21" s="33">
        <v>7.3894399999999995E-4</v>
      </c>
      <c r="U21" s="33">
        <v>4.2122905000000002E-2</v>
      </c>
      <c r="V21" s="33">
        <v>5.51</v>
      </c>
      <c r="W21" s="33">
        <v>5.2519999999999998</v>
      </c>
      <c r="X21" s="5">
        <v>7.5</v>
      </c>
      <c r="Y21" s="5" t="s">
        <v>93</v>
      </c>
      <c r="Z21" s="5">
        <v>0.5</v>
      </c>
      <c r="AA21" s="5" t="s">
        <v>94</v>
      </c>
      <c r="AB21" s="5">
        <v>30</v>
      </c>
      <c r="AC21" s="5" t="s">
        <v>95</v>
      </c>
      <c r="AD21" s="5">
        <v>2.6366000000000001E-2</v>
      </c>
      <c r="AE21" s="5">
        <v>0.30372450000000001</v>
      </c>
    </row>
    <row r="22" spans="1:31">
      <c r="A22" s="65" t="s">
        <v>25</v>
      </c>
      <c r="B22" s="10" t="s">
        <v>527</v>
      </c>
      <c r="C22" s="6" t="s">
        <v>485</v>
      </c>
      <c r="D22" s="6" t="s">
        <v>324</v>
      </c>
      <c r="E22" s="6" t="s">
        <v>170</v>
      </c>
      <c r="F22" s="6" t="s">
        <v>357</v>
      </c>
      <c r="G22" s="6" t="s">
        <v>167</v>
      </c>
      <c r="H22" s="59" t="s">
        <v>364</v>
      </c>
      <c r="I22" s="12" t="s">
        <v>172</v>
      </c>
      <c r="J22" s="5">
        <v>0.13</v>
      </c>
      <c r="K22" s="33">
        <v>2.0590000000000002</v>
      </c>
      <c r="L22" s="33">
        <v>0.42499999999999999</v>
      </c>
      <c r="M22" s="33"/>
      <c r="N22" s="33"/>
      <c r="O22" s="33"/>
      <c r="P22" s="33">
        <v>0.42499999999999999</v>
      </c>
      <c r="Q22" s="33">
        <v>0.13916811300000001</v>
      </c>
      <c r="R22" s="33">
        <v>0.22761730999999999</v>
      </c>
      <c r="S22" s="33">
        <v>2.5077986E-2</v>
      </c>
      <c r="T22" s="33">
        <v>2.152588E-3</v>
      </c>
      <c r="U22" s="33">
        <v>3.3899711999999999E-2</v>
      </c>
      <c r="V22" s="33">
        <v>5.3739999999999997</v>
      </c>
      <c r="W22" s="33">
        <v>4.5460000000000003</v>
      </c>
      <c r="X22" s="5">
        <v>7.5</v>
      </c>
      <c r="Y22" s="5" t="s">
        <v>93</v>
      </c>
      <c r="Z22" s="5">
        <v>0.5</v>
      </c>
      <c r="AA22" s="5" t="s">
        <v>94</v>
      </c>
      <c r="AB22" s="5">
        <v>30</v>
      </c>
      <c r="AC22" s="5" t="s">
        <v>95</v>
      </c>
      <c r="AD22" s="5">
        <v>2.5831E-2</v>
      </c>
      <c r="AE22" s="5">
        <v>0.25690982099999998</v>
      </c>
    </row>
    <row r="23" spans="1:31">
      <c r="A23" s="65" t="s">
        <v>26</v>
      </c>
      <c r="B23" s="10" t="s">
        <v>527</v>
      </c>
      <c r="C23" s="6" t="s">
        <v>485</v>
      </c>
      <c r="D23" s="6" t="s">
        <v>324</v>
      </c>
      <c r="E23" s="6" t="s">
        <v>170</v>
      </c>
      <c r="F23" s="6" t="s">
        <v>357</v>
      </c>
      <c r="G23" s="6" t="s">
        <v>167</v>
      </c>
      <c r="H23" s="59" t="s">
        <v>364</v>
      </c>
      <c r="I23" s="12" t="s">
        <v>172</v>
      </c>
      <c r="J23" s="5">
        <v>0.13</v>
      </c>
      <c r="K23" s="33">
        <v>2.1349999999999998</v>
      </c>
      <c r="L23" s="33">
        <v>0.438</v>
      </c>
      <c r="M23" s="33"/>
      <c r="N23" s="33"/>
      <c r="O23" s="33"/>
      <c r="P23" s="33">
        <v>0.438</v>
      </c>
      <c r="Q23" s="33">
        <v>0.13267562499999999</v>
      </c>
      <c r="R23" s="33">
        <v>0.25727792100000002</v>
      </c>
      <c r="S23" s="33">
        <v>2.6121129999999999E-2</v>
      </c>
      <c r="T23" s="33">
        <v>0</v>
      </c>
      <c r="U23" s="33">
        <v>4.1071206999999998E-2</v>
      </c>
      <c r="V23" s="33">
        <v>5.3019999999999996</v>
      </c>
      <c r="W23" s="33">
        <v>5.07</v>
      </c>
      <c r="X23" s="5">
        <v>7.5</v>
      </c>
      <c r="Y23" s="5" t="s">
        <v>93</v>
      </c>
      <c r="Z23" s="5">
        <v>0.5</v>
      </c>
      <c r="AA23" s="5" t="s">
        <v>94</v>
      </c>
      <c r="AB23" s="5">
        <v>30</v>
      </c>
      <c r="AC23" s="5" t="s">
        <v>95</v>
      </c>
      <c r="AD23" s="5">
        <v>2.5297E-2</v>
      </c>
      <c r="AE23" s="5">
        <v>0.26642500000000002</v>
      </c>
    </row>
    <row r="24" spans="1:31">
      <c r="A24" s="65" t="s">
        <v>27</v>
      </c>
      <c r="B24" s="10" t="s">
        <v>527</v>
      </c>
      <c r="C24" s="6" t="s">
        <v>485</v>
      </c>
      <c r="D24" s="6" t="s">
        <v>324</v>
      </c>
      <c r="E24" s="6" t="s">
        <v>170</v>
      </c>
      <c r="F24" s="6" t="s">
        <v>357</v>
      </c>
      <c r="G24" s="6" t="s">
        <v>167</v>
      </c>
      <c r="H24" s="59" t="s">
        <v>365</v>
      </c>
      <c r="I24" s="12" t="s">
        <v>172</v>
      </c>
      <c r="J24" s="5">
        <v>0.18</v>
      </c>
      <c r="K24" s="33">
        <v>3.266</v>
      </c>
      <c r="L24" s="33">
        <v>0.66900000000000004</v>
      </c>
      <c r="M24" s="33"/>
      <c r="N24" s="33"/>
      <c r="O24" s="33"/>
      <c r="P24" s="33">
        <v>0.66900000000000004</v>
      </c>
      <c r="Q24" s="33">
        <v>1.2813869950000001</v>
      </c>
      <c r="R24" s="33">
        <v>0.18048138799999999</v>
      </c>
      <c r="S24" s="33">
        <v>3.2745818000000003E-2</v>
      </c>
      <c r="T24" s="33">
        <v>0</v>
      </c>
      <c r="U24" s="33">
        <v>5.6452840000000004E-3</v>
      </c>
      <c r="V24" s="33">
        <v>7.2619999999999996</v>
      </c>
      <c r="W24" s="33">
        <v>5.42</v>
      </c>
      <c r="X24" s="5">
        <v>7.5</v>
      </c>
      <c r="Y24" s="5" t="s">
        <v>93</v>
      </c>
      <c r="Z24" s="5">
        <v>0.5</v>
      </c>
      <c r="AA24" s="5" t="s">
        <v>94</v>
      </c>
      <c r="AB24" s="5">
        <v>30</v>
      </c>
      <c r="AC24" s="5" t="s">
        <v>95</v>
      </c>
      <c r="AD24" s="5">
        <v>3.9014E-2</v>
      </c>
      <c r="AE24" s="5">
        <v>0.28926142900000001</v>
      </c>
    </row>
    <row r="25" spans="1:31">
      <c r="A25" s="65" t="s">
        <v>28</v>
      </c>
      <c r="B25" s="10" t="s">
        <v>527</v>
      </c>
      <c r="C25" s="6" t="s">
        <v>485</v>
      </c>
      <c r="D25" s="6" t="s">
        <v>324</v>
      </c>
      <c r="E25" s="6" t="s">
        <v>170</v>
      </c>
      <c r="F25" s="6" t="s">
        <v>357</v>
      </c>
      <c r="G25" s="6" t="s">
        <v>167</v>
      </c>
      <c r="H25" s="59" t="s">
        <v>365</v>
      </c>
      <c r="I25" s="12" t="s">
        <v>172</v>
      </c>
      <c r="J25" s="5">
        <v>0.18</v>
      </c>
      <c r="K25" s="33">
        <v>3.202</v>
      </c>
      <c r="L25" s="33">
        <v>0.65900000000000003</v>
      </c>
      <c r="M25" s="33"/>
      <c r="N25" s="33"/>
      <c r="O25" s="33"/>
      <c r="P25" s="33">
        <v>0.65900000000000003</v>
      </c>
      <c r="Q25" s="33">
        <v>1.4870797280000001</v>
      </c>
      <c r="R25" s="33">
        <v>0.41515672300000001</v>
      </c>
      <c r="S25" s="33">
        <v>3.1272250000000001E-2</v>
      </c>
      <c r="T25" s="33">
        <v>2.6969479999999998E-3</v>
      </c>
      <c r="U25" s="33">
        <v>1.6418242E-2</v>
      </c>
      <c r="V25" s="33">
        <v>7.3049999999999997</v>
      </c>
      <c r="W25" s="33">
        <v>6.0170000000000003</v>
      </c>
      <c r="X25" s="5">
        <v>7.5</v>
      </c>
      <c r="Y25" s="5" t="s">
        <v>93</v>
      </c>
      <c r="Z25" s="5">
        <v>0.5</v>
      </c>
      <c r="AA25" s="5" t="s">
        <v>94</v>
      </c>
      <c r="AB25" s="5">
        <v>30</v>
      </c>
      <c r="AC25" s="5" t="s">
        <v>95</v>
      </c>
      <c r="AD25" s="5">
        <v>3.8657999999999998E-2</v>
      </c>
      <c r="AE25" s="5">
        <v>0.28202989299999998</v>
      </c>
    </row>
    <row r="26" spans="1:31">
      <c r="A26" s="65" t="s">
        <v>29</v>
      </c>
      <c r="B26" s="10" t="s">
        <v>527</v>
      </c>
      <c r="C26" s="6" t="s">
        <v>485</v>
      </c>
      <c r="D26" s="6" t="s">
        <v>324</v>
      </c>
      <c r="E26" s="6" t="s">
        <v>170</v>
      </c>
      <c r="F26" s="6" t="s">
        <v>357</v>
      </c>
      <c r="G26" s="6" t="s">
        <v>167</v>
      </c>
      <c r="H26" s="59" t="s">
        <v>365</v>
      </c>
      <c r="I26" s="12" t="s">
        <v>172</v>
      </c>
      <c r="J26" s="5">
        <v>0.18</v>
      </c>
      <c r="K26" s="33">
        <v>2.83</v>
      </c>
      <c r="L26" s="33">
        <v>0.58099999999999996</v>
      </c>
      <c r="M26" s="33"/>
      <c r="N26" s="33"/>
      <c r="O26" s="33"/>
      <c r="P26" s="33">
        <v>0.58099999999999996</v>
      </c>
      <c r="Q26" s="33">
        <v>1.069367508</v>
      </c>
      <c r="R26" s="33">
        <v>0.18424942899999999</v>
      </c>
      <c r="S26" s="33">
        <v>2.652065E-2</v>
      </c>
      <c r="T26" s="33">
        <v>0</v>
      </c>
      <c r="U26" s="33">
        <v>1.5674206999999999E-2</v>
      </c>
      <c r="V26" s="33">
        <v>6.2510000000000003</v>
      </c>
      <c r="W26" s="33">
        <v>5.2640000000000002</v>
      </c>
      <c r="X26" s="5">
        <v>7.5</v>
      </c>
      <c r="Y26" s="5" t="s">
        <v>93</v>
      </c>
      <c r="Z26" s="5">
        <v>0.5</v>
      </c>
      <c r="AA26" s="5" t="s">
        <v>94</v>
      </c>
      <c r="AB26" s="5">
        <v>30</v>
      </c>
      <c r="AC26" s="5" t="s">
        <v>95</v>
      </c>
      <c r="AD26" s="5">
        <v>3.7945E-2</v>
      </c>
      <c r="AE26" s="5">
        <v>0.288119607</v>
      </c>
    </row>
    <row r="27" spans="1:31">
      <c r="A27" s="65" t="s">
        <v>30</v>
      </c>
      <c r="B27" s="10" t="s">
        <v>527</v>
      </c>
      <c r="C27" s="6" t="s">
        <v>485</v>
      </c>
      <c r="D27" s="6" t="s">
        <v>324</v>
      </c>
      <c r="E27" s="6" t="s">
        <v>170</v>
      </c>
      <c r="F27" s="6" t="s">
        <v>357</v>
      </c>
      <c r="G27" s="6" t="s">
        <v>167</v>
      </c>
      <c r="H27" s="59" t="s">
        <v>366</v>
      </c>
      <c r="I27" s="12" t="s">
        <v>172</v>
      </c>
      <c r="J27" s="5">
        <v>0.3</v>
      </c>
      <c r="K27" s="33">
        <v>7.9909999999999997</v>
      </c>
      <c r="L27" s="33">
        <v>1.6479999999999999</v>
      </c>
      <c r="M27" s="33"/>
      <c r="N27" s="33"/>
      <c r="O27" s="33"/>
      <c r="P27" s="33">
        <v>1.6479999999999999</v>
      </c>
      <c r="Q27" s="33">
        <v>7.0441347099999998</v>
      </c>
      <c r="R27" s="33">
        <v>0.31251037799999998</v>
      </c>
      <c r="S27" s="33">
        <v>5.1692219999999997E-2</v>
      </c>
      <c r="T27" s="33">
        <v>1.1339925000000001E-2</v>
      </c>
      <c r="U27" s="33">
        <v>0</v>
      </c>
      <c r="V27" s="33">
        <v>14.086</v>
      </c>
      <c r="W27" s="33">
        <v>8.3010000000000002</v>
      </c>
      <c r="X27" s="5">
        <v>7.5</v>
      </c>
      <c r="Y27" s="5" t="s">
        <v>93</v>
      </c>
      <c r="Z27" s="5">
        <v>0.5</v>
      </c>
      <c r="AA27" s="5" t="s">
        <v>94</v>
      </c>
      <c r="AB27" s="5">
        <v>30</v>
      </c>
      <c r="AC27" s="5" t="s">
        <v>95</v>
      </c>
      <c r="AD27" s="5">
        <v>4.7031000000000003E-2</v>
      </c>
      <c r="AE27" s="5">
        <v>0.42247392900000003</v>
      </c>
    </row>
    <row r="28" spans="1:31">
      <c r="A28" s="65" t="s">
        <v>31</v>
      </c>
      <c r="B28" s="10" t="s">
        <v>527</v>
      </c>
      <c r="C28" s="6" t="s">
        <v>485</v>
      </c>
      <c r="D28" s="6" t="s">
        <v>324</v>
      </c>
      <c r="E28" s="6" t="s">
        <v>170</v>
      </c>
      <c r="F28" s="6" t="s">
        <v>357</v>
      </c>
      <c r="G28" s="6" t="s">
        <v>167</v>
      </c>
      <c r="H28" s="59" t="s">
        <v>366</v>
      </c>
      <c r="I28" s="12" t="s">
        <v>172</v>
      </c>
      <c r="J28" s="5">
        <v>0.3</v>
      </c>
      <c r="K28" s="33">
        <v>8.2759999999999998</v>
      </c>
      <c r="L28" s="33">
        <v>1.6950000000000001</v>
      </c>
      <c r="M28" s="33"/>
      <c r="N28" s="33"/>
      <c r="O28" s="33"/>
      <c r="P28" s="33">
        <v>1.6950000000000001</v>
      </c>
      <c r="Q28" s="33">
        <v>6.6847254490000001</v>
      </c>
      <c r="R28" s="33">
        <v>0.27229536399999998</v>
      </c>
      <c r="S28" s="33">
        <v>4.4478275999999997E-2</v>
      </c>
      <c r="T28" s="33">
        <v>3.4668667E-2</v>
      </c>
      <c r="U28" s="33">
        <v>0</v>
      </c>
      <c r="V28" s="33">
        <v>15.111000000000001</v>
      </c>
      <c r="W28" s="33">
        <v>8.3870000000000005</v>
      </c>
      <c r="X28" s="5">
        <v>7.5</v>
      </c>
      <c r="Y28" s="5" t="s">
        <v>93</v>
      </c>
      <c r="Z28" s="5">
        <v>0.5</v>
      </c>
      <c r="AA28" s="5" t="s">
        <v>94</v>
      </c>
      <c r="AB28" s="5">
        <v>30</v>
      </c>
      <c r="AC28" s="5" t="s">
        <v>95</v>
      </c>
      <c r="AD28" s="5">
        <v>4.5606000000000001E-2</v>
      </c>
      <c r="AE28" s="5">
        <v>0.42133210700000001</v>
      </c>
    </row>
    <row r="29" spans="1:31">
      <c r="A29" s="65" t="s">
        <v>32</v>
      </c>
      <c r="B29" s="10" t="s">
        <v>527</v>
      </c>
      <c r="C29" s="6" t="s">
        <v>485</v>
      </c>
      <c r="D29" s="6" t="s">
        <v>324</v>
      </c>
      <c r="E29" s="6" t="s">
        <v>170</v>
      </c>
      <c r="F29" s="6" t="s">
        <v>357</v>
      </c>
      <c r="G29" s="6" t="s">
        <v>167</v>
      </c>
      <c r="H29" s="59" t="s">
        <v>366</v>
      </c>
      <c r="I29" s="12" t="s">
        <v>172</v>
      </c>
      <c r="J29" s="5">
        <v>0.3</v>
      </c>
      <c r="K29" s="33">
        <v>8.9320000000000004</v>
      </c>
      <c r="L29" s="33">
        <v>1.8660000000000001</v>
      </c>
      <c r="M29" s="33"/>
      <c r="N29" s="33"/>
      <c r="O29" s="33"/>
      <c r="P29" s="33">
        <v>1.8660000000000001</v>
      </c>
      <c r="Q29" s="33">
        <v>8.2124218889999998</v>
      </c>
      <c r="R29" s="33">
        <v>0.61718923199999998</v>
      </c>
      <c r="S29" s="33">
        <v>6.4337543999999997E-2</v>
      </c>
      <c r="T29" s="33">
        <v>2.9481279999999999E-2</v>
      </c>
      <c r="U29" s="33">
        <v>0</v>
      </c>
      <c r="V29" s="33">
        <v>16.956</v>
      </c>
      <c r="W29" s="33">
        <v>9.34</v>
      </c>
      <c r="X29" s="5">
        <v>7.5</v>
      </c>
      <c r="Y29" s="5" t="s">
        <v>93</v>
      </c>
      <c r="Z29" s="5">
        <v>0.5</v>
      </c>
      <c r="AA29" s="5" t="s">
        <v>94</v>
      </c>
      <c r="AB29" s="5">
        <v>30</v>
      </c>
      <c r="AC29" s="5" t="s">
        <v>95</v>
      </c>
      <c r="AD29" s="5">
        <v>5.2019000000000003E-2</v>
      </c>
      <c r="AE29" s="5">
        <v>0.39963749999999998</v>
      </c>
    </row>
    <row r="30" spans="1:31">
      <c r="A30" s="65" t="s">
        <v>33</v>
      </c>
      <c r="B30" s="10" t="s">
        <v>527</v>
      </c>
      <c r="C30" s="6" t="s">
        <v>485</v>
      </c>
      <c r="D30" s="6" t="s">
        <v>324</v>
      </c>
      <c r="E30" s="6" t="s">
        <v>170</v>
      </c>
      <c r="F30" s="6" t="s">
        <v>357</v>
      </c>
      <c r="G30" s="6" t="s">
        <v>167</v>
      </c>
      <c r="H30" s="59" t="s">
        <v>367</v>
      </c>
      <c r="I30" s="12" t="s">
        <v>172</v>
      </c>
      <c r="J30" s="5">
        <v>0.35</v>
      </c>
      <c r="K30" s="33">
        <v>12.936999999999999</v>
      </c>
      <c r="L30" s="33">
        <v>2.7120000000000002</v>
      </c>
      <c r="M30" s="33"/>
      <c r="N30" s="33"/>
      <c r="O30" s="33"/>
      <c r="P30" s="33">
        <v>2.7120000000000002</v>
      </c>
      <c r="Q30" s="33">
        <v>11.927306959999999</v>
      </c>
      <c r="R30" s="33">
        <v>0.47269426599999997</v>
      </c>
      <c r="S30" s="33">
        <v>8.9757966999999994E-2</v>
      </c>
      <c r="T30" s="33">
        <v>3.5944587E-2</v>
      </c>
      <c r="U30" s="33">
        <v>0</v>
      </c>
      <c r="V30" s="33">
        <v>20.902000000000001</v>
      </c>
      <c r="W30" s="33">
        <v>12.682</v>
      </c>
      <c r="X30" s="5">
        <v>7.5</v>
      </c>
      <c r="Y30" s="5" t="s">
        <v>93</v>
      </c>
      <c r="Z30" s="5">
        <v>0.5</v>
      </c>
      <c r="AA30" s="5" t="s">
        <v>94</v>
      </c>
      <c r="AB30" s="5">
        <v>30</v>
      </c>
      <c r="AC30" s="5" t="s">
        <v>95</v>
      </c>
      <c r="AD30" s="5">
        <v>7.3219000000000006E-2</v>
      </c>
      <c r="AE30" s="5">
        <v>0.48415467400000001</v>
      </c>
    </row>
    <row r="31" spans="1:31">
      <c r="A31" s="65" t="s">
        <v>34</v>
      </c>
      <c r="B31" s="10" t="s">
        <v>527</v>
      </c>
      <c r="C31" s="6" t="s">
        <v>485</v>
      </c>
      <c r="D31" s="6" t="s">
        <v>324</v>
      </c>
      <c r="E31" s="6" t="s">
        <v>170</v>
      </c>
      <c r="F31" s="6" t="s">
        <v>357</v>
      </c>
      <c r="G31" s="6" t="s">
        <v>167</v>
      </c>
      <c r="H31" s="59" t="s">
        <v>367</v>
      </c>
      <c r="I31" s="12" t="s">
        <v>172</v>
      </c>
      <c r="J31" s="5">
        <v>0.35</v>
      </c>
      <c r="K31" s="33">
        <v>13.23</v>
      </c>
      <c r="L31" s="33">
        <v>2.786</v>
      </c>
      <c r="M31" s="33"/>
      <c r="N31" s="33"/>
      <c r="O31" s="33"/>
      <c r="P31" s="33">
        <v>2.786</v>
      </c>
      <c r="Q31" s="33">
        <v>12.12470377</v>
      </c>
      <c r="R31" s="33">
        <v>0.63692599999999999</v>
      </c>
      <c r="S31" s="33">
        <v>0.104193063</v>
      </c>
      <c r="T31" s="33">
        <v>3.3770889999999998E-2</v>
      </c>
      <c r="U31" s="33">
        <v>0</v>
      </c>
      <c r="V31" s="33">
        <v>21.082999999999998</v>
      </c>
      <c r="W31" s="33">
        <v>12.353999999999999</v>
      </c>
      <c r="X31" s="5">
        <v>7.5</v>
      </c>
      <c r="Y31" s="5" t="s">
        <v>93</v>
      </c>
      <c r="Z31" s="5">
        <v>0.5</v>
      </c>
      <c r="AA31" s="5" t="s">
        <v>94</v>
      </c>
      <c r="AB31" s="5">
        <v>30</v>
      </c>
      <c r="AC31" s="5" t="s">
        <v>95</v>
      </c>
      <c r="AD31" s="5">
        <v>7.0545999999999998E-2</v>
      </c>
      <c r="AE31" s="5">
        <v>0.48992198300000001</v>
      </c>
    </row>
    <row r="32" spans="1:31">
      <c r="A32" s="65" t="s">
        <v>35</v>
      </c>
      <c r="B32" s="10" t="s">
        <v>527</v>
      </c>
      <c r="C32" s="6" t="s">
        <v>485</v>
      </c>
      <c r="D32" s="6" t="s">
        <v>324</v>
      </c>
      <c r="E32" s="6" t="s">
        <v>170</v>
      </c>
      <c r="F32" s="6" t="s">
        <v>357</v>
      </c>
      <c r="G32" s="6" t="s">
        <v>167</v>
      </c>
      <c r="H32" s="59" t="s">
        <v>367</v>
      </c>
      <c r="I32" s="12" t="s">
        <v>172</v>
      </c>
      <c r="J32" s="5">
        <v>0.35</v>
      </c>
      <c r="K32" s="33">
        <v>13.096</v>
      </c>
      <c r="L32" s="33">
        <v>2.742</v>
      </c>
      <c r="M32" s="33"/>
      <c r="N32" s="33"/>
      <c r="O32" s="33"/>
      <c r="P32" s="33">
        <v>2.742</v>
      </c>
      <c r="Q32" s="33">
        <v>11.84780602</v>
      </c>
      <c r="R32" s="33">
        <v>0.47734259699999998</v>
      </c>
      <c r="S32" s="33">
        <v>9.1823417000000004E-2</v>
      </c>
      <c r="T32" s="33">
        <v>0</v>
      </c>
      <c r="U32" s="33">
        <v>0</v>
      </c>
      <c r="V32" s="33">
        <v>21.097999999999999</v>
      </c>
      <c r="W32" s="33">
        <v>12.977</v>
      </c>
      <c r="X32" s="5">
        <v>7.5</v>
      </c>
      <c r="Y32" s="5" t="s">
        <v>93</v>
      </c>
      <c r="Z32" s="5">
        <v>0.5</v>
      </c>
      <c r="AA32" s="5" t="s">
        <v>94</v>
      </c>
      <c r="AB32" s="5">
        <v>30</v>
      </c>
      <c r="AC32" s="5" t="s">
        <v>95</v>
      </c>
      <c r="AD32" s="5">
        <v>8.8717000000000004E-2</v>
      </c>
      <c r="AE32" s="5">
        <v>0.50886425499999999</v>
      </c>
    </row>
    <row r="33" spans="1:32">
      <c r="A33" s="65" t="s">
        <v>36</v>
      </c>
      <c r="B33" s="10" t="s">
        <v>527</v>
      </c>
      <c r="C33" s="6" t="s">
        <v>485</v>
      </c>
      <c r="D33" s="6" t="s">
        <v>324</v>
      </c>
      <c r="E33" s="6" t="s">
        <v>170</v>
      </c>
      <c r="F33" s="6" t="s">
        <v>357</v>
      </c>
      <c r="G33" s="6" t="s">
        <v>167</v>
      </c>
      <c r="H33" s="59" t="s">
        <v>368</v>
      </c>
      <c r="I33" s="12" t="s">
        <v>172</v>
      </c>
      <c r="J33" s="5">
        <v>0.1</v>
      </c>
      <c r="K33" s="33">
        <v>0.82699999999999996</v>
      </c>
      <c r="L33" s="33"/>
      <c r="M33" s="33">
        <v>0.747</v>
      </c>
      <c r="N33" s="33"/>
      <c r="O33" s="33"/>
      <c r="P33" s="33">
        <v>1.4930000000000001</v>
      </c>
      <c r="Q33" s="33">
        <v>0</v>
      </c>
      <c r="R33" s="33">
        <v>0</v>
      </c>
      <c r="S33" s="33">
        <v>8.7561730000000008E-3</v>
      </c>
      <c r="T33" s="33">
        <v>0</v>
      </c>
      <c r="U33" s="33">
        <v>0</v>
      </c>
      <c r="V33" s="33">
        <v>2.7690000000000001</v>
      </c>
      <c r="W33" s="33">
        <v>2.4500000000000002</v>
      </c>
      <c r="X33" s="5">
        <v>7.5</v>
      </c>
      <c r="Y33" s="5" t="s">
        <v>99</v>
      </c>
      <c r="Z33" s="5">
        <v>5.53</v>
      </c>
      <c r="AA33" s="5" t="s">
        <v>96</v>
      </c>
      <c r="AB33" s="5">
        <v>5</v>
      </c>
      <c r="AC33" s="5" t="s">
        <v>97</v>
      </c>
      <c r="AD33" s="5">
        <v>7.1259000000000003E-2</v>
      </c>
      <c r="AE33" s="5">
        <v>0.49783414300000001</v>
      </c>
      <c r="AF33" s="5" t="s">
        <v>100</v>
      </c>
    </row>
    <row r="34" spans="1:32">
      <c r="A34" s="65" t="s">
        <v>37</v>
      </c>
      <c r="B34" s="10" t="s">
        <v>527</v>
      </c>
      <c r="C34" s="6" t="s">
        <v>485</v>
      </c>
      <c r="D34" s="6" t="s">
        <v>324</v>
      </c>
      <c r="E34" s="6" t="s">
        <v>170</v>
      </c>
      <c r="F34" s="6" t="s">
        <v>357</v>
      </c>
      <c r="G34" s="6" t="s">
        <v>167</v>
      </c>
      <c r="H34" s="59" t="s">
        <v>368</v>
      </c>
      <c r="I34" s="12" t="s">
        <v>172</v>
      </c>
      <c r="J34" s="5">
        <v>0.1</v>
      </c>
      <c r="K34" s="33">
        <v>0.78800000000000003</v>
      </c>
      <c r="L34" s="33"/>
      <c r="M34" s="33">
        <v>0.71199999999999997</v>
      </c>
      <c r="N34" s="33"/>
      <c r="O34" s="33"/>
      <c r="P34" s="33">
        <v>1.423</v>
      </c>
      <c r="Q34" s="33">
        <v>0</v>
      </c>
      <c r="R34" s="33">
        <v>0</v>
      </c>
      <c r="S34" s="33">
        <v>5.5182690000000001E-3</v>
      </c>
      <c r="T34" s="33">
        <v>0</v>
      </c>
      <c r="U34" s="33">
        <v>0</v>
      </c>
      <c r="V34" s="33">
        <v>2.7170000000000001</v>
      </c>
      <c r="W34" s="33">
        <v>2.3530000000000002</v>
      </c>
      <c r="X34" s="5">
        <v>7.5</v>
      </c>
      <c r="Y34" s="5" t="s">
        <v>99</v>
      </c>
      <c r="Z34" s="5">
        <v>5.53</v>
      </c>
      <c r="AA34" s="5" t="s">
        <v>96</v>
      </c>
      <c r="AB34" s="5">
        <v>5</v>
      </c>
      <c r="AC34" s="5" t="s">
        <v>97</v>
      </c>
      <c r="AD34" s="5">
        <v>5.8789000000000001E-2</v>
      </c>
      <c r="AE34" s="5">
        <v>0.58385135700000002</v>
      </c>
      <c r="AF34" s="5" t="s">
        <v>100</v>
      </c>
    </row>
    <row r="35" spans="1:32">
      <c r="A35" s="65" t="s">
        <v>38</v>
      </c>
      <c r="B35" s="10" t="s">
        <v>527</v>
      </c>
      <c r="C35" s="6" t="s">
        <v>485</v>
      </c>
      <c r="D35" s="6" t="s">
        <v>324</v>
      </c>
      <c r="E35" s="6" t="s">
        <v>170</v>
      </c>
      <c r="F35" s="6" t="s">
        <v>357</v>
      </c>
      <c r="G35" s="6" t="s">
        <v>167</v>
      </c>
      <c r="H35" s="59" t="s">
        <v>368</v>
      </c>
      <c r="I35" s="12" t="s">
        <v>172</v>
      </c>
      <c r="J35" s="5">
        <v>0.1</v>
      </c>
      <c r="K35" s="33">
        <v>0.76700000000000002</v>
      </c>
      <c r="L35" s="33"/>
      <c r="M35" s="33">
        <v>0.69099999999999995</v>
      </c>
      <c r="N35" s="33"/>
      <c r="O35" s="33"/>
      <c r="P35" s="33">
        <v>1.3819999999999999</v>
      </c>
      <c r="Q35" s="33">
        <v>0</v>
      </c>
      <c r="R35" s="33">
        <v>0</v>
      </c>
      <c r="S35" s="33">
        <v>1.9902549999999998E-3</v>
      </c>
      <c r="T35" s="33">
        <v>0</v>
      </c>
      <c r="U35" s="33">
        <v>0</v>
      </c>
      <c r="V35" s="33">
        <v>2.5739999999999998</v>
      </c>
      <c r="W35" s="33">
        <v>2.25</v>
      </c>
      <c r="X35" s="5">
        <v>7.5</v>
      </c>
      <c r="Y35" s="5" t="s">
        <v>99</v>
      </c>
      <c r="Z35" s="5">
        <v>5.53</v>
      </c>
      <c r="AA35" s="5" t="s">
        <v>96</v>
      </c>
      <c r="AB35" s="5">
        <v>5</v>
      </c>
      <c r="AC35" s="5" t="s">
        <v>97</v>
      </c>
      <c r="AD35" s="5">
        <v>6.4132999999999996E-2</v>
      </c>
      <c r="AE35" s="5">
        <v>0.59412774999999995</v>
      </c>
      <c r="AF35" s="5" t="s">
        <v>100</v>
      </c>
    </row>
    <row r="36" spans="1:32">
      <c r="A36" s="65" t="s">
        <v>39</v>
      </c>
      <c r="B36" s="10" t="s">
        <v>527</v>
      </c>
      <c r="C36" s="6" t="s">
        <v>485</v>
      </c>
      <c r="D36" s="6" t="s">
        <v>324</v>
      </c>
      <c r="E36" s="6" t="s">
        <v>170</v>
      </c>
      <c r="F36" s="6" t="s">
        <v>357</v>
      </c>
      <c r="G36" s="6" t="s">
        <v>167</v>
      </c>
      <c r="H36" s="59" t="s">
        <v>369</v>
      </c>
      <c r="I36" s="12" t="s">
        <v>172</v>
      </c>
      <c r="J36" s="5">
        <v>0.1</v>
      </c>
      <c r="K36" s="33">
        <v>0.80700000000000005</v>
      </c>
      <c r="L36" s="33"/>
      <c r="M36" s="33">
        <v>4.92</v>
      </c>
      <c r="N36" s="33"/>
      <c r="O36" s="33"/>
      <c r="P36" s="33">
        <v>9.8390000000000004</v>
      </c>
      <c r="Q36" s="33">
        <v>0</v>
      </c>
      <c r="R36" s="33">
        <v>0</v>
      </c>
      <c r="S36" s="33">
        <v>3.9436786000000001E-2</v>
      </c>
      <c r="T36" s="33">
        <v>0</v>
      </c>
      <c r="U36" s="33">
        <v>1.3630471999999999E-2</v>
      </c>
      <c r="V36" s="33">
        <v>3.032</v>
      </c>
      <c r="W36" s="33">
        <v>1.7749999999999999</v>
      </c>
      <c r="X36" s="5">
        <v>1.21</v>
      </c>
      <c r="Y36" s="5" t="s">
        <v>99</v>
      </c>
      <c r="Z36" s="5">
        <v>5.53</v>
      </c>
      <c r="AA36" s="5" t="s">
        <v>96</v>
      </c>
      <c r="AB36" s="5">
        <v>3</v>
      </c>
      <c r="AC36" s="5" t="s">
        <v>97</v>
      </c>
      <c r="AD36" s="5">
        <v>5.5581999999999999E-2</v>
      </c>
      <c r="AE36" s="5">
        <v>0.510013571</v>
      </c>
      <c r="AF36" s="5" t="s">
        <v>101</v>
      </c>
    </row>
    <row r="37" spans="1:32">
      <c r="A37" s="65" t="s">
        <v>40</v>
      </c>
      <c r="B37" s="10" t="s">
        <v>527</v>
      </c>
      <c r="C37" s="6" t="s">
        <v>485</v>
      </c>
      <c r="D37" s="6" t="s">
        <v>324</v>
      </c>
      <c r="E37" s="6" t="s">
        <v>170</v>
      </c>
      <c r="F37" s="6" t="s">
        <v>357</v>
      </c>
      <c r="G37" s="6" t="s">
        <v>167</v>
      </c>
      <c r="H37" s="59" t="s">
        <v>369</v>
      </c>
      <c r="I37" s="12" t="s">
        <v>172</v>
      </c>
      <c r="J37" s="5">
        <v>0.1</v>
      </c>
      <c r="K37" s="33">
        <v>0.64900000000000002</v>
      </c>
      <c r="L37" s="33"/>
      <c r="M37" s="33">
        <v>3.9620000000000002</v>
      </c>
      <c r="N37" s="33"/>
      <c r="O37" s="33"/>
      <c r="P37" s="33">
        <v>7.9240000000000004</v>
      </c>
      <c r="Q37" s="33">
        <v>0</v>
      </c>
      <c r="R37" s="33">
        <v>0</v>
      </c>
      <c r="S37" s="33">
        <v>3.0460814999999999E-2</v>
      </c>
      <c r="T37" s="33">
        <v>0</v>
      </c>
      <c r="U37" s="33">
        <v>9.5061450000000006E-3</v>
      </c>
      <c r="V37" s="33">
        <v>1.9590000000000001</v>
      </c>
      <c r="W37" s="33">
        <v>1.623</v>
      </c>
      <c r="X37" s="5">
        <v>1.21</v>
      </c>
      <c r="Y37" s="5" t="s">
        <v>99</v>
      </c>
      <c r="Z37" s="5">
        <v>5.53</v>
      </c>
      <c r="AA37" s="5" t="s">
        <v>96</v>
      </c>
      <c r="AB37" s="5">
        <v>3</v>
      </c>
      <c r="AC37" s="5" t="s">
        <v>97</v>
      </c>
      <c r="AD37" s="5">
        <v>5.4869000000000001E-2</v>
      </c>
      <c r="AE37" s="5">
        <v>0.29420932100000002</v>
      </c>
      <c r="AF37" s="5" t="s">
        <v>101</v>
      </c>
    </row>
    <row r="38" spans="1:32">
      <c r="A38" s="65" t="s">
        <v>41</v>
      </c>
      <c r="B38" s="10" t="s">
        <v>527</v>
      </c>
      <c r="C38" s="6" t="s">
        <v>485</v>
      </c>
      <c r="D38" s="6" t="s">
        <v>324</v>
      </c>
      <c r="E38" s="6" t="s">
        <v>170</v>
      </c>
      <c r="F38" s="6" t="s">
        <v>357</v>
      </c>
      <c r="G38" s="6" t="s">
        <v>167</v>
      </c>
      <c r="H38" s="59" t="s">
        <v>369</v>
      </c>
      <c r="I38" s="12" t="s">
        <v>172</v>
      </c>
      <c r="J38" s="5">
        <v>0.1</v>
      </c>
      <c r="K38" s="33">
        <v>0.76500000000000001</v>
      </c>
      <c r="L38" s="33"/>
      <c r="M38" s="33">
        <v>4.6159999999999997</v>
      </c>
      <c r="N38" s="33"/>
      <c r="O38" s="33"/>
      <c r="P38" s="33">
        <v>9.2319999999999993</v>
      </c>
      <c r="Q38" s="33">
        <v>0</v>
      </c>
      <c r="R38" s="33">
        <v>0</v>
      </c>
      <c r="S38" s="33">
        <v>2.5119712999999998E-2</v>
      </c>
      <c r="T38" s="33">
        <v>0</v>
      </c>
      <c r="U38" s="33">
        <v>0</v>
      </c>
      <c r="V38" s="33">
        <v>2.569</v>
      </c>
      <c r="W38" s="33">
        <v>1.2909999999999999</v>
      </c>
      <c r="X38" s="5">
        <v>1.21</v>
      </c>
      <c r="Y38" s="5" t="s">
        <v>99</v>
      </c>
      <c r="Z38" s="5">
        <v>5.53</v>
      </c>
      <c r="AA38" s="5" t="s">
        <v>96</v>
      </c>
      <c r="AB38" s="5">
        <v>3</v>
      </c>
      <c r="AC38" s="5" t="s">
        <v>97</v>
      </c>
      <c r="AD38" s="5">
        <v>5.1663000000000001E-2</v>
      </c>
      <c r="AE38" s="5">
        <v>0.358912536</v>
      </c>
      <c r="AF38" s="5" t="s">
        <v>101</v>
      </c>
    </row>
    <row r="39" spans="1:32">
      <c r="A39" s="65" t="s">
        <v>42</v>
      </c>
      <c r="B39" s="10" t="s">
        <v>527</v>
      </c>
      <c r="C39" s="6" t="s">
        <v>485</v>
      </c>
      <c r="D39" s="6" t="s">
        <v>324</v>
      </c>
      <c r="E39" s="6" t="s">
        <v>170</v>
      </c>
      <c r="F39" s="6" t="s">
        <v>357</v>
      </c>
      <c r="G39" s="6" t="s">
        <v>167</v>
      </c>
      <c r="H39" s="59" t="s">
        <v>370</v>
      </c>
      <c r="I39" s="12" t="s">
        <v>172</v>
      </c>
      <c r="J39" s="5">
        <v>0.1</v>
      </c>
      <c r="K39" s="33">
        <v>1.381</v>
      </c>
      <c r="L39" s="33"/>
      <c r="M39" s="33">
        <v>0.158</v>
      </c>
      <c r="N39" s="33"/>
      <c r="O39" s="33"/>
      <c r="P39" s="33">
        <v>0.317</v>
      </c>
      <c r="Q39" s="33">
        <v>1.8073279000000001E-2</v>
      </c>
      <c r="R39" s="33">
        <v>7.8381013999999999E-2</v>
      </c>
      <c r="S39" s="33">
        <v>0.86713414300000002</v>
      </c>
      <c r="T39" s="33">
        <v>5.4564440000000004E-3</v>
      </c>
      <c r="U39" s="33">
        <v>4.6616212999999997E-2</v>
      </c>
      <c r="V39" s="33">
        <v>4.3209999999999997</v>
      </c>
      <c r="W39" s="33">
        <v>3.883</v>
      </c>
      <c r="X39" s="5">
        <v>6.87</v>
      </c>
      <c r="Y39" s="5" t="s">
        <v>99</v>
      </c>
      <c r="Z39" s="5">
        <v>0.55000000000000004</v>
      </c>
      <c r="AA39" s="5" t="s">
        <v>94</v>
      </c>
      <c r="AB39" s="5">
        <v>30</v>
      </c>
      <c r="AC39" s="5" t="s">
        <v>97</v>
      </c>
      <c r="AD39" s="5">
        <v>2.6366000000000001E-2</v>
      </c>
      <c r="AE39" s="5">
        <v>0.20552785700000001</v>
      </c>
    </row>
    <row r="40" spans="1:32">
      <c r="A40" s="65" t="s">
        <v>43</v>
      </c>
      <c r="B40" s="10" t="s">
        <v>527</v>
      </c>
      <c r="C40" s="6" t="s">
        <v>485</v>
      </c>
      <c r="D40" s="6" t="s">
        <v>324</v>
      </c>
      <c r="E40" s="6" t="s">
        <v>170</v>
      </c>
      <c r="F40" s="6" t="s">
        <v>357</v>
      </c>
      <c r="G40" s="6" t="s">
        <v>167</v>
      </c>
      <c r="H40" s="59" t="s">
        <v>370</v>
      </c>
      <c r="I40" s="12" t="s">
        <v>172</v>
      </c>
      <c r="J40" s="5">
        <v>0.1</v>
      </c>
      <c r="K40" s="33">
        <v>1.2589999999999999</v>
      </c>
      <c r="L40" s="33"/>
      <c r="M40" s="33">
        <v>0.14199999999999999</v>
      </c>
      <c r="N40" s="33"/>
      <c r="O40" s="33"/>
      <c r="P40" s="33">
        <v>0.28399999999999997</v>
      </c>
      <c r="Q40" s="33">
        <v>0</v>
      </c>
      <c r="R40" s="33">
        <v>3.4333113999999998E-2</v>
      </c>
      <c r="S40" s="33">
        <v>0.69158415699999998</v>
      </c>
      <c r="T40" s="33">
        <v>0</v>
      </c>
      <c r="U40" s="33">
        <v>4.5041784000000001E-2</v>
      </c>
      <c r="V40" s="33">
        <v>3.93</v>
      </c>
      <c r="W40" s="33">
        <v>3.3959999999999999</v>
      </c>
      <c r="X40" s="5">
        <v>6.87</v>
      </c>
      <c r="Y40" s="5" t="s">
        <v>99</v>
      </c>
      <c r="Z40" s="5">
        <v>0.55000000000000004</v>
      </c>
      <c r="AA40" s="5" t="s">
        <v>94</v>
      </c>
      <c r="AB40" s="5">
        <v>30</v>
      </c>
      <c r="AC40" s="5" t="s">
        <v>97</v>
      </c>
      <c r="AD40" s="5">
        <v>2.2268E-2</v>
      </c>
      <c r="AE40" s="5">
        <v>0.35282282100000001</v>
      </c>
    </row>
    <row r="41" spans="1:32">
      <c r="A41" s="65" t="s">
        <v>44</v>
      </c>
      <c r="B41" s="10" t="s">
        <v>527</v>
      </c>
      <c r="C41" s="6" t="s">
        <v>485</v>
      </c>
      <c r="D41" s="6" t="s">
        <v>324</v>
      </c>
      <c r="E41" s="6" t="s">
        <v>170</v>
      </c>
      <c r="F41" s="6" t="s">
        <v>357</v>
      </c>
      <c r="G41" s="6" t="s">
        <v>167</v>
      </c>
      <c r="H41" s="59" t="s">
        <v>370</v>
      </c>
      <c r="I41" s="12" t="s">
        <v>172</v>
      </c>
      <c r="J41" s="5">
        <v>0.1</v>
      </c>
      <c r="K41" s="33">
        <v>1.3</v>
      </c>
      <c r="L41" s="33"/>
      <c r="M41" s="33">
        <v>0.14899999999999999</v>
      </c>
      <c r="N41" s="33"/>
      <c r="O41" s="33"/>
      <c r="P41" s="33">
        <v>0.29799999999999999</v>
      </c>
      <c r="Q41" s="33">
        <v>0</v>
      </c>
      <c r="R41" s="33">
        <v>7.6426068999999999E-2</v>
      </c>
      <c r="S41" s="33">
        <v>0.84262339500000005</v>
      </c>
      <c r="T41" s="33">
        <v>5.663179E-3</v>
      </c>
      <c r="U41" s="33">
        <v>4.1991897E-2</v>
      </c>
      <c r="V41" s="33">
        <v>4.077</v>
      </c>
      <c r="W41" s="33">
        <v>3.3340000000000001</v>
      </c>
      <c r="X41" s="5">
        <v>6.87</v>
      </c>
      <c r="Y41" s="5" t="s">
        <v>99</v>
      </c>
      <c r="Z41" s="5">
        <v>0.55000000000000004</v>
      </c>
      <c r="AA41" s="5" t="s">
        <v>94</v>
      </c>
      <c r="AB41" s="5">
        <v>30</v>
      </c>
      <c r="AC41" s="5" t="s">
        <v>97</v>
      </c>
      <c r="AD41" s="5">
        <v>1.7815000000000001E-2</v>
      </c>
      <c r="AE41" s="5">
        <v>0.36195739300000002</v>
      </c>
    </row>
    <row r="42" spans="1:32">
      <c r="A42" s="65" t="s">
        <v>45</v>
      </c>
      <c r="B42" s="10" t="s">
        <v>527</v>
      </c>
      <c r="C42" s="6" t="s">
        <v>485</v>
      </c>
      <c r="D42" s="6" t="s">
        <v>324</v>
      </c>
      <c r="E42" s="6" t="s">
        <v>170</v>
      </c>
      <c r="F42" s="6" t="s">
        <v>357</v>
      </c>
      <c r="G42" s="6" t="s">
        <v>167</v>
      </c>
      <c r="H42" s="59" t="s">
        <v>371</v>
      </c>
      <c r="I42" s="12" t="s">
        <v>172</v>
      </c>
      <c r="J42" s="5">
        <v>0.1</v>
      </c>
      <c r="K42" s="33">
        <v>1.4850000000000001</v>
      </c>
      <c r="L42" s="33"/>
      <c r="M42" s="33"/>
      <c r="N42" s="33">
        <v>2.8620000000000001</v>
      </c>
      <c r="O42" s="33"/>
      <c r="P42" s="33">
        <v>2.8620000000000001</v>
      </c>
      <c r="Q42" s="33">
        <v>0</v>
      </c>
      <c r="R42" s="33">
        <v>0</v>
      </c>
      <c r="S42" s="33">
        <v>6.3162172000000003E-2</v>
      </c>
      <c r="T42" s="33">
        <v>0</v>
      </c>
      <c r="U42" s="33">
        <v>0</v>
      </c>
      <c r="V42" s="33">
        <v>5.7110000000000003</v>
      </c>
      <c r="W42" s="33">
        <v>5.6040000000000001</v>
      </c>
      <c r="X42" s="5">
        <v>7.5</v>
      </c>
      <c r="Y42" s="5" t="s">
        <v>102</v>
      </c>
      <c r="Z42" s="5">
        <v>12.35</v>
      </c>
      <c r="AA42" s="5" t="s">
        <v>96</v>
      </c>
      <c r="AB42" s="5">
        <v>3</v>
      </c>
      <c r="AC42" s="5" t="s">
        <v>97</v>
      </c>
      <c r="AD42" s="5">
        <v>1.9595999999999999E-2</v>
      </c>
      <c r="AE42" s="5">
        <v>0.425138179</v>
      </c>
    </row>
    <row r="43" spans="1:32">
      <c r="A43" s="65" t="s">
        <v>46</v>
      </c>
      <c r="B43" s="10" t="s">
        <v>527</v>
      </c>
      <c r="C43" s="6" t="s">
        <v>485</v>
      </c>
      <c r="D43" s="6" t="s">
        <v>324</v>
      </c>
      <c r="E43" s="6" t="s">
        <v>170</v>
      </c>
      <c r="F43" s="6" t="s">
        <v>357</v>
      </c>
      <c r="G43" s="6" t="s">
        <v>167</v>
      </c>
      <c r="H43" s="59" t="s">
        <v>371</v>
      </c>
      <c r="I43" s="12" t="s">
        <v>172</v>
      </c>
      <c r="J43" s="5">
        <v>0.1</v>
      </c>
      <c r="K43" s="33">
        <v>1.6</v>
      </c>
      <c r="L43" s="33"/>
      <c r="M43" s="33"/>
      <c r="N43" s="33">
        <v>3.0840000000000001</v>
      </c>
      <c r="O43" s="33"/>
      <c r="P43" s="33">
        <v>3.0840000000000001</v>
      </c>
      <c r="Q43" s="33">
        <v>0</v>
      </c>
      <c r="R43" s="33">
        <v>0</v>
      </c>
      <c r="S43" s="33">
        <v>7.4209667000000007E-2</v>
      </c>
      <c r="T43" s="33">
        <v>0</v>
      </c>
      <c r="U43" s="33">
        <v>0</v>
      </c>
      <c r="V43" s="33">
        <v>6.0389999999999997</v>
      </c>
      <c r="W43" s="33">
        <v>5.8689999999999998</v>
      </c>
      <c r="X43" s="5">
        <v>7.5</v>
      </c>
      <c r="Y43" s="5" t="s">
        <v>102</v>
      </c>
      <c r="Z43" s="5">
        <v>12.35</v>
      </c>
      <c r="AA43" s="5" t="s">
        <v>96</v>
      </c>
      <c r="AB43" s="5">
        <v>3</v>
      </c>
      <c r="AC43" s="5" t="s">
        <v>97</v>
      </c>
      <c r="AD43" s="5">
        <v>2.0309000000000001E-2</v>
      </c>
      <c r="AE43" s="5">
        <v>0.52028996400000005</v>
      </c>
    </row>
    <row r="44" spans="1:32">
      <c r="A44" s="65" t="s">
        <v>47</v>
      </c>
      <c r="B44" s="10" t="s">
        <v>527</v>
      </c>
      <c r="C44" s="6" t="s">
        <v>485</v>
      </c>
      <c r="D44" s="6" t="s">
        <v>324</v>
      </c>
      <c r="E44" s="6" t="s">
        <v>170</v>
      </c>
      <c r="F44" s="6" t="s">
        <v>357</v>
      </c>
      <c r="G44" s="6" t="s">
        <v>167</v>
      </c>
      <c r="H44" s="59" t="s">
        <v>371</v>
      </c>
      <c r="I44" s="12" t="s">
        <v>172</v>
      </c>
      <c r="J44" s="5">
        <v>0.1</v>
      </c>
      <c r="K44" s="33">
        <v>1.4350000000000001</v>
      </c>
      <c r="L44" s="33"/>
      <c r="M44" s="33"/>
      <c r="N44" s="33">
        <v>2.7629999999999999</v>
      </c>
      <c r="O44" s="33"/>
      <c r="P44" s="33">
        <v>2.7629999999999999</v>
      </c>
      <c r="Q44" s="33">
        <v>0</v>
      </c>
      <c r="R44" s="33">
        <v>0</v>
      </c>
      <c r="S44" s="33">
        <v>7.4921513999999995E-2</v>
      </c>
      <c r="T44" s="33">
        <v>0</v>
      </c>
      <c r="U44" s="33">
        <v>0</v>
      </c>
      <c r="V44" s="33">
        <v>5.32</v>
      </c>
      <c r="W44" s="33">
        <v>5.0789999999999997</v>
      </c>
      <c r="X44" s="5">
        <v>7.5</v>
      </c>
      <c r="Y44" s="5" t="s">
        <v>102</v>
      </c>
      <c r="Z44" s="5">
        <v>12.35</v>
      </c>
      <c r="AA44" s="5" t="s">
        <v>96</v>
      </c>
      <c r="AB44" s="5">
        <v>3</v>
      </c>
      <c r="AC44" s="5" t="s">
        <v>97</v>
      </c>
      <c r="AD44" s="5">
        <v>1.8171E-2</v>
      </c>
      <c r="AE44" s="5">
        <v>0.452161286</v>
      </c>
    </row>
    <row r="45" spans="1:32">
      <c r="A45" s="65" t="s">
        <v>48</v>
      </c>
      <c r="B45" s="10" t="s">
        <v>527</v>
      </c>
      <c r="C45" s="6" t="s">
        <v>485</v>
      </c>
      <c r="D45" s="6" t="s">
        <v>324</v>
      </c>
      <c r="E45" s="6" t="s">
        <v>170</v>
      </c>
      <c r="F45" s="6" t="s">
        <v>357</v>
      </c>
      <c r="G45" s="6" t="s">
        <v>167</v>
      </c>
      <c r="H45" s="59" t="s">
        <v>372</v>
      </c>
      <c r="I45" s="12" t="s">
        <v>172</v>
      </c>
      <c r="J45" s="5">
        <v>0.1</v>
      </c>
      <c r="K45" s="33">
        <v>1.6779999999999999</v>
      </c>
      <c r="L45" s="33"/>
      <c r="M45" s="33"/>
      <c r="N45" s="33">
        <v>0.33400000000000002</v>
      </c>
      <c r="O45" s="33"/>
      <c r="P45" s="33">
        <v>0.33400000000000002</v>
      </c>
      <c r="Q45" s="33">
        <v>0</v>
      </c>
      <c r="R45" s="33">
        <v>0</v>
      </c>
      <c r="S45" s="33">
        <v>0.27117874199999997</v>
      </c>
      <c r="T45" s="33">
        <v>0</v>
      </c>
      <c r="U45" s="33">
        <v>0</v>
      </c>
      <c r="V45" s="33">
        <v>5.7240000000000002</v>
      </c>
      <c r="W45" s="33">
        <v>5.9080000000000004</v>
      </c>
      <c r="X45" s="5">
        <v>7.5</v>
      </c>
      <c r="Y45" s="5" t="s">
        <v>102</v>
      </c>
      <c r="Z45" s="5">
        <v>1.24</v>
      </c>
      <c r="AA45" s="5" t="s">
        <v>94</v>
      </c>
      <c r="AB45" s="5">
        <v>30</v>
      </c>
      <c r="AC45" s="5" t="s">
        <v>97</v>
      </c>
      <c r="AD45" s="5">
        <v>2.3337E-2</v>
      </c>
      <c r="AE45" s="5">
        <v>0.41790664300000002</v>
      </c>
    </row>
    <row r="46" spans="1:32">
      <c r="A46" s="65" t="s">
        <v>49</v>
      </c>
      <c r="B46" s="10" t="s">
        <v>527</v>
      </c>
      <c r="C46" s="6" t="s">
        <v>485</v>
      </c>
      <c r="D46" s="6" t="s">
        <v>324</v>
      </c>
      <c r="E46" s="6" t="s">
        <v>170</v>
      </c>
      <c r="F46" s="6" t="s">
        <v>357</v>
      </c>
      <c r="G46" s="6" t="s">
        <v>167</v>
      </c>
      <c r="H46" s="59" t="s">
        <v>372</v>
      </c>
      <c r="I46" s="12" t="s">
        <v>172</v>
      </c>
      <c r="J46" s="5">
        <v>0.1</v>
      </c>
      <c r="K46" s="33">
        <v>1.6930000000000001</v>
      </c>
      <c r="L46" s="33"/>
      <c r="M46" s="33"/>
      <c r="N46" s="33">
        <v>0.33700000000000002</v>
      </c>
      <c r="O46" s="33"/>
      <c r="P46" s="33">
        <v>0.33700000000000002</v>
      </c>
      <c r="Q46" s="33">
        <v>0</v>
      </c>
      <c r="R46" s="33">
        <v>0</v>
      </c>
      <c r="S46" s="33">
        <v>0.30716928599999999</v>
      </c>
      <c r="T46" s="33">
        <v>0</v>
      </c>
      <c r="U46" s="33">
        <v>0</v>
      </c>
      <c r="V46" s="33">
        <v>5.9720000000000004</v>
      </c>
      <c r="W46" s="33">
        <v>5.29</v>
      </c>
      <c r="X46" s="5">
        <v>7.5</v>
      </c>
      <c r="Y46" s="5" t="s">
        <v>102</v>
      </c>
      <c r="Z46" s="5">
        <v>1.24</v>
      </c>
      <c r="AA46" s="5" t="s">
        <v>94</v>
      </c>
      <c r="AB46" s="5">
        <v>30</v>
      </c>
      <c r="AC46" s="5" t="s">
        <v>97</v>
      </c>
      <c r="AD46" s="5">
        <v>2.4941000000000001E-2</v>
      </c>
      <c r="AE46" s="5">
        <v>0.37870410700000001</v>
      </c>
    </row>
    <row r="47" spans="1:32">
      <c r="A47" s="65" t="s">
        <v>50</v>
      </c>
      <c r="B47" s="10" t="s">
        <v>527</v>
      </c>
      <c r="C47" s="6" t="s">
        <v>485</v>
      </c>
      <c r="D47" s="6" t="s">
        <v>324</v>
      </c>
      <c r="E47" s="6" t="s">
        <v>170</v>
      </c>
      <c r="F47" s="6" t="s">
        <v>357</v>
      </c>
      <c r="G47" s="6" t="s">
        <v>167</v>
      </c>
      <c r="H47" s="59" t="s">
        <v>372</v>
      </c>
      <c r="I47" s="12" t="s">
        <v>172</v>
      </c>
      <c r="J47" s="5">
        <v>0.1</v>
      </c>
      <c r="K47" s="33">
        <v>1.647</v>
      </c>
      <c r="L47" s="33"/>
      <c r="M47" s="33"/>
      <c r="N47" s="33">
        <v>0.32700000000000001</v>
      </c>
      <c r="O47" s="33"/>
      <c r="P47" s="33">
        <v>0.32700000000000001</v>
      </c>
      <c r="Q47" s="33">
        <v>0</v>
      </c>
      <c r="R47" s="33">
        <v>0</v>
      </c>
      <c r="S47" s="33">
        <v>0.20397084300000001</v>
      </c>
      <c r="T47" s="33">
        <v>0</v>
      </c>
      <c r="U47" s="33">
        <v>0</v>
      </c>
      <c r="V47" s="33">
        <v>6.1310000000000002</v>
      </c>
      <c r="W47" s="33">
        <v>5.69</v>
      </c>
      <c r="X47" s="5">
        <v>7.5</v>
      </c>
      <c r="Y47" s="5" t="s">
        <v>102</v>
      </c>
      <c r="Z47" s="5">
        <v>1.24</v>
      </c>
      <c r="AA47" s="5" t="s">
        <v>94</v>
      </c>
      <c r="AB47" s="5">
        <v>30</v>
      </c>
      <c r="AC47" s="5" t="s">
        <v>97</v>
      </c>
      <c r="AD47" s="5">
        <v>2.4406000000000001E-2</v>
      </c>
      <c r="AE47" s="5">
        <v>0.39887628600000002</v>
      </c>
    </row>
    <row r="48" spans="1:32">
      <c r="A48" s="65" t="s">
        <v>51</v>
      </c>
      <c r="B48" s="10" t="s">
        <v>527</v>
      </c>
      <c r="C48" s="6" t="s">
        <v>485</v>
      </c>
      <c r="D48" s="6" t="s">
        <v>324</v>
      </c>
      <c r="E48" s="6" t="s">
        <v>170</v>
      </c>
      <c r="F48" s="6" t="s">
        <v>357</v>
      </c>
      <c r="G48" s="6" t="s">
        <v>167</v>
      </c>
      <c r="H48" s="59" t="s">
        <v>373</v>
      </c>
      <c r="I48" s="12" t="s">
        <v>172</v>
      </c>
      <c r="J48" s="5">
        <v>0.1</v>
      </c>
      <c r="K48" s="33">
        <v>1.4790000000000001</v>
      </c>
      <c r="L48" s="33"/>
      <c r="M48" s="33"/>
      <c r="N48" s="33"/>
      <c r="O48" s="33">
        <v>2.919</v>
      </c>
      <c r="P48" s="33">
        <v>2.919</v>
      </c>
      <c r="Q48" s="33">
        <v>6.4434642E-2</v>
      </c>
      <c r="R48" s="33">
        <v>0</v>
      </c>
      <c r="S48" s="33">
        <v>0.16559933199999999</v>
      </c>
      <c r="T48" s="33">
        <v>0</v>
      </c>
      <c r="U48" s="33">
        <v>4.8736990000000004E-3</v>
      </c>
      <c r="V48" s="33">
        <v>4.7869999999999999</v>
      </c>
      <c r="W48" s="33">
        <v>4.5609999999999999</v>
      </c>
      <c r="X48" s="5">
        <v>7.5</v>
      </c>
      <c r="Y48" s="5" t="s">
        <v>103</v>
      </c>
      <c r="Z48" s="5">
        <v>9.81</v>
      </c>
      <c r="AA48" s="5" t="s">
        <v>96</v>
      </c>
      <c r="AB48" s="5">
        <v>3</v>
      </c>
      <c r="AC48" s="5" t="s">
        <v>97</v>
      </c>
      <c r="AD48" s="5">
        <v>2.9215999999999999E-2</v>
      </c>
      <c r="AE48" s="5">
        <v>0.32085182099999998</v>
      </c>
    </row>
    <row r="49" spans="1:31">
      <c r="A49" s="65" t="s">
        <v>52</v>
      </c>
      <c r="B49" s="10" t="s">
        <v>527</v>
      </c>
      <c r="C49" s="6" t="s">
        <v>485</v>
      </c>
      <c r="D49" s="6" t="s">
        <v>324</v>
      </c>
      <c r="E49" s="6" t="s">
        <v>170</v>
      </c>
      <c r="F49" s="6" t="s">
        <v>357</v>
      </c>
      <c r="G49" s="6" t="s">
        <v>167</v>
      </c>
      <c r="H49" s="59" t="s">
        <v>373</v>
      </c>
      <c r="I49" s="12" t="s">
        <v>172</v>
      </c>
      <c r="J49" s="5">
        <v>0.1</v>
      </c>
      <c r="K49" s="33">
        <v>1.633</v>
      </c>
      <c r="L49" s="33"/>
      <c r="M49" s="33"/>
      <c r="N49" s="33"/>
      <c r="O49" s="33">
        <v>3.2</v>
      </c>
      <c r="P49" s="33">
        <v>3.2</v>
      </c>
      <c r="Q49" s="33">
        <v>0</v>
      </c>
      <c r="R49" s="33">
        <v>0</v>
      </c>
      <c r="S49" s="33">
        <v>0.156217087</v>
      </c>
      <c r="T49" s="33">
        <v>0</v>
      </c>
      <c r="U49" s="33">
        <v>0</v>
      </c>
      <c r="V49" s="33">
        <v>5.1379999999999999</v>
      </c>
      <c r="W49" s="33">
        <v>4.9089999999999998</v>
      </c>
      <c r="X49" s="5">
        <v>7.5</v>
      </c>
      <c r="Y49" s="5" t="s">
        <v>103</v>
      </c>
      <c r="Z49" s="5">
        <v>9.81</v>
      </c>
      <c r="AA49" s="5" t="s">
        <v>96</v>
      </c>
      <c r="AB49" s="5">
        <v>3</v>
      </c>
      <c r="AC49" s="5" t="s">
        <v>97</v>
      </c>
      <c r="AD49" s="5">
        <v>3.4738999999999999E-2</v>
      </c>
      <c r="AE49" s="5">
        <v>0.41866785699999998</v>
      </c>
    </row>
    <row r="50" spans="1:31">
      <c r="A50" s="65" t="s">
        <v>53</v>
      </c>
      <c r="B50" s="10" t="s">
        <v>527</v>
      </c>
      <c r="C50" s="6" t="s">
        <v>485</v>
      </c>
      <c r="D50" s="6" t="s">
        <v>324</v>
      </c>
      <c r="E50" s="6" t="s">
        <v>170</v>
      </c>
      <c r="F50" s="6" t="s">
        <v>357</v>
      </c>
      <c r="G50" s="6" t="s">
        <v>167</v>
      </c>
      <c r="H50" s="59" t="s">
        <v>373</v>
      </c>
      <c r="I50" s="12" t="s">
        <v>172</v>
      </c>
      <c r="J50" s="5">
        <v>0.1</v>
      </c>
      <c r="K50" s="33">
        <v>1.571</v>
      </c>
      <c r="L50" s="33"/>
      <c r="M50" s="33"/>
      <c r="N50" s="33"/>
      <c r="O50" s="33">
        <v>3.0830000000000002</v>
      </c>
      <c r="P50" s="33">
        <v>3.0830000000000002</v>
      </c>
      <c r="Q50" s="33">
        <v>6.4504826000000001E-2</v>
      </c>
      <c r="R50" s="33">
        <v>0</v>
      </c>
      <c r="S50" s="33">
        <v>0.15037355499999999</v>
      </c>
      <c r="T50" s="33">
        <v>0</v>
      </c>
      <c r="U50" s="33">
        <v>5.596462E-3</v>
      </c>
      <c r="V50" s="33">
        <v>4.9610000000000003</v>
      </c>
      <c r="W50" s="33">
        <v>4.5490000000000004</v>
      </c>
      <c r="X50" s="5">
        <v>7.5</v>
      </c>
      <c r="Y50" s="5" t="s">
        <v>103</v>
      </c>
      <c r="Z50" s="5">
        <v>9.81</v>
      </c>
      <c r="AA50" s="5" t="s">
        <v>96</v>
      </c>
      <c r="AB50" s="5">
        <v>3</v>
      </c>
      <c r="AC50" s="5" t="s">
        <v>97</v>
      </c>
      <c r="AD50" s="5">
        <v>3.0641000000000002E-2</v>
      </c>
      <c r="AE50" s="5">
        <v>0.33150882100000001</v>
      </c>
    </row>
    <row r="51" spans="1:31">
      <c r="A51" s="65" t="s">
        <v>54</v>
      </c>
      <c r="B51" s="10" t="s">
        <v>527</v>
      </c>
      <c r="C51" s="6" t="s">
        <v>485</v>
      </c>
      <c r="D51" s="6" t="s">
        <v>324</v>
      </c>
      <c r="E51" s="6" t="s">
        <v>170</v>
      </c>
      <c r="F51" s="6" t="s">
        <v>357</v>
      </c>
      <c r="G51" s="6" t="s">
        <v>167</v>
      </c>
      <c r="H51" s="59" t="s">
        <v>374</v>
      </c>
      <c r="I51" s="12" t="s">
        <v>172</v>
      </c>
      <c r="J51" s="5">
        <v>0.1</v>
      </c>
      <c r="K51" s="33">
        <v>1.4510000000000001</v>
      </c>
      <c r="L51" s="33"/>
      <c r="M51" s="33"/>
      <c r="N51" s="33"/>
      <c r="O51" s="33">
        <v>0.29199999999999998</v>
      </c>
      <c r="P51" s="33">
        <v>0.29199999999999998</v>
      </c>
      <c r="Q51" s="33">
        <v>0.16597783599999999</v>
      </c>
      <c r="R51" s="33">
        <v>6.6479359000000002E-2</v>
      </c>
      <c r="S51" s="33">
        <v>0.60819290000000004</v>
      </c>
      <c r="T51" s="33">
        <v>0</v>
      </c>
      <c r="U51" s="33">
        <v>2.5725250000000002E-2</v>
      </c>
      <c r="V51" s="33">
        <v>4.18</v>
      </c>
      <c r="W51" s="33">
        <v>4.0129999999999999</v>
      </c>
      <c r="X51" s="5">
        <v>7.5</v>
      </c>
      <c r="Y51" s="5" t="s">
        <v>103</v>
      </c>
      <c r="Z51" s="5">
        <v>0.98</v>
      </c>
      <c r="AA51" s="5" t="s">
        <v>94</v>
      </c>
      <c r="AB51" s="5">
        <v>30</v>
      </c>
      <c r="AC51" s="5" t="s">
        <v>97</v>
      </c>
      <c r="AD51" s="5">
        <v>2.4761999999999999E-2</v>
      </c>
      <c r="AE51" s="5">
        <v>0.43998185699999998</v>
      </c>
    </row>
    <row r="52" spans="1:31">
      <c r="A52" s="65" t="s">
        <v>55</v>
      </c>
      <c r="B52" s="10" t="s">
        <v>527</v>
      </c>
      <c r="C52" s="6" t="s">
        <v>485</v>
      </c>
      <c r="D52" s="6" t="s">
        <v>324</v>
      </c>
      <c r="E52" s="6" t="s">
        <v>170</v>
      </c>
      <c r="F52" s="6" t="s">
        <v>357</v>
      </c>
      <c r="G52" s="6" t="s">
        <v>167</v>
      </c>
      <c r="H52" s="59" t="s">
        <v>374</v>
      </c>
      <c r="I52" s="12" t="s">
        <v>172</v>
      </c>
      <c r="J52" s="5">
        <v>0.1</v>
      </c>
      <c r="K52" s="33">
        <v>1.7090000000000001</v>
      </c>
      <c r="L52" s="33"/>
      <c r="M52" s="33"/>
      <c r="N52" s="33"/>
      <c r="O52" s="33">
        <v>0.33900000000000002</v>
      </c>
      <c r="P52" s="33">
        <v>0.33900000000000002</v>
      </c>
      <c r="Q52" s="33">
        <v>6.0174350000000001E-2</v>
      </c>
      <c r="R52" s="33">
        <v>7.8079274000000004E-2</v>
      </c>
      <c r="S52" s="33">
        <v>0.66867871400000001</v>
      </c>
      <c r="T52" s="33">
        <v>0</v>
      </c>
      <c r="U52" s="33">
        <v>3.5868012999999997E-2</v>
      </c>
      <c r="V52" s="33">
        <v>4.9020000000000001</v>
      </c>
      <c r="W52" s="33">
        <v>4.45</v>
      </c>
      <c r="X52" s="5">
        <v>7.5</v>
      </c>
      <c r="Y52" s="5" t="s">
        <v>103</v>
      </c>
      <c r="Z52" s="5">
        <v>0.98</v>
      </c>
      <c r="AA52" s="5" t="s">
        <v>94</v>
      </c>
      <c r="AB52" s="5">
        <v>30</v>
      </c>
      <c r="AC52" s="5" t="s">
        <v>97</v>
      </c>
      <c r="AD52" s="5">
        <v>2.1912000000000001E-2</v>
      </c>
      <c r="AE52" s="5">
        <v>0.448355214</v>
      </c>
    </row>
    <row r="53" spans="1:31">
      <c r="A53" s="65" t="s">
        <v>56</v>
      </c>
      <c r="B53" s="10" t="s">
        <v>527</v>
      </c>
      <c r="C53" s="6" t="s">
        <v>485</v>
      </c>
      <c r="D53" s="6" t="s">
        <v>324</v>
      </c>
      <c r="E53" s="6" t="s">
        <v>170</v>
      </c>
      <c r="F53" s="6" t="s">
        <v>357</v>
      </c>
      <c r="G53" s="6" t="s">
        <v>167</v>
      </c>
      <c r="H53" s="59" t="s">
        <v>374</v>
      </c>
      <c r="I53" s="12" t="s">
        <v>172</v>
      </c>
      <c r="J53" s="5">
        <v>0.1</v>
      </c>
      <c r="K53" s="33">
        <v>1.6220000000000001</v>
      </c>
      <c r="L53" s="33"/>
      <c r="M53" s="33"/>
      <c r="N53" s="33"/>
      <c r="O53" s="33">
        <v>0.32900000000000001</v>
      </c>
      <c r="P53" s="33">
        <v>0.32900000000000001</v>
      </c>
      <c r="Q53" s="33">
        <v>0.18362290100000001</v>
      </c>
      <c r="R53" s="33">
        <v>0.16825845</v>
      </c>
      <c r="S53" s="33">
        <v>0.92271634599999997</v>
      </c>
      <c r="T53" s="33">
        <v>0</v>
      </c>
      <c r="U53" s="33">
        <v>4.8272586999999999E-2</v>
      </c>
      <c r="V53" s="33">
        <v>4.5620000000000003</v>
      </c>
      <c r="W53" s="33">
        <v>4.2300000000000004</v>
      </c>
      <c r="X53" s="5">
        <v>7.5</v>
      </c>
      <c r="Y53" s="5" t="s">
        <v>103</v>
      </c>
      <c r="Z53" s="5">
        <v>0.98</v>
      </c>
      <c r="AA53" s="5" t="s">
        <v>94</v>
      </c>
      <c r="AB53" s="5">
        <v>30</v>
      </c>
      <c r="AC53" s="5" t="s">
        <v>97</v>
      </c>
      <c r="AD53" s="5">
        <v>2.4761999999999999E-2</v>
      </c>
      <c r="AE53" s="5">
        <v>0.42361575000000001</v>
      </c>
    </row>
    <row r="54" spans="1:31" s="81" customFormat="1">
      <c r="A54" s="79" t="s">
        <v>57</v>
      </c>
      <c r="B54" s="10" t="s">
        <v>527</v>
      </c>
      <c r="C54" s="79" t="s">
        <v>486</v>
      </c>
      <c r="D54" s="79" t="s">
        <v>338</v>
      </c>
      <c r="E54" s="79" t="s">
        <v>169</v>
      </c>
      <c r="F54" s="79" t="s">
        <v>301</v>
      </c>
      <c r="G54" s="79" t="s">
        <v>167</v>
      </c>
      <c r="H54" s="79" t="s">
        <v>57</v>
      </c>
      <c r="I54" s="79"/>
      <c r="J54" s="80">
        <v>0.1</v>
      </c>
    </row>
    <row r="55" spans="1:31" s="13" customFormat="1">
      <c r="A55" s="10" t="s">
        <v>406</v>
      </c>
      <c r="B55" s="10" t="s">
        <v>527</v>
      </c>
      <c r="C55" s="10" t="s">
        <v>487</v>
      </c>
      <c r="D55" s="10" t="s">
        <v>326</v>
      </c>
      <c r="E55" s="10" t="s">
        <v>170</v>
      </c>
      <c r="F55" s="10" t="s">
        <v>301</v>
      </c>
      <c r="G55" s="13" t="s">
        <v>128</v>
      </c>
      <c r="H55" s="58" t="s">
        <v>58</v>
      </c>
      <c r="I55" s="22" t="s">
        <v>172</v>
      </c>
      <c r="J55" s="42">
        <v>0.40653850000000002</v>
      </c>
      <c r="K55" s="43">
        <v>-13.20185</v>
      </c>
      <c r="Q55" s="43">
        <v>15.979100000000001</v>
      </c>
      <c r="Y55" s="29" t="s">
        <v>93</v>
      </c>
    </row>
    <row r="56" spans="1:31">
      <c r="A56" s="6" t="s">
        <v>407</v>
      </c>
      <c r="B56" s="10" t="s">
        <v>527</v>
      </c>
      <c r="C56" s="10" t="s">
        <v>487</v>
      </c>
      <c r="D56" s="6" t="s">
        <v>326</v>
      </c>
      <c r="E56" s="6" t="s">
        <v>170</v>
      </c>
      <c r="F56" s="6" t="s">
        <v>301</v>
      </c>
      <c r="G56" s="5" t="s">
        <v>128</v>
      </c>
      <c r="H56" s="59" t="s">
        <v>58</v>
      </c>
      <c r="I56" s="12" t="s">
        <v>172</v>
      </c>
      <c r="J56" s="46">
        <v>0.40653850000000002</v>
      </c>
      <c r="K56" s="47">
        <v>-13.20185</v>
      </c>
      <c r="Q56" s="47">
        <v>15.979100000000001</v>
      </c>
      <c r="Y56" s="30" t="s">
        <v>93</v>
      </c>
    </row>
    <row r="57" spans="1:31">
      <c r="A57" s="6" t="s">
        <v>408</v>
      </c>
      <c r="B57" s="10" t="s">
        <v>527</v>
      </c>
      <c r="C57" s="10" t="s">
        <v>487</v>
      </c>
      <c r="D57" s="6" t="s">
        <v>326</v>
      </c>
      <c r="E57" s="6" t="s">
        <v>170</v>
      </c>
      <c r="F57" s="6" t="s">
        <v>301</v>
      </c>
      <c r="G57" s="5" t="s">
        <v>128</v>
      </c>
      <c r="H57" s="59" t="s">
        <v>59</v>
      </c>
      <c r="I57" s="12" t="s">
        <v>173</v>
      </c>
      <c r="J57" s="46">
        <v>0.44837779999999999</v>
      </c>
      <c r="K57" s="47">
        <v>-12.97245</v>
      </c>
      <c r="Q57" s="47">
        <v>17.642130000000002</v>
      </c>
      <c r="Y57" s="30" t="s">
        <v>93</v>
      </c>
    </row>
    <row r="58" spans="1:31">
      <c r="A58" s="6" t="s">
        <v>409</v>
      </c>
      <c r="B58" s="10" t="s">
        <v>527</v>
      </c>
      <c r="C58" s="10" t="s">
        <v>487</v>
      </c>
      <c r="D58" s="6" t="s">
        <v>326</v>
      </c>
      <c r="E58" s="6" t="s">
        <v>170</v>
      </c>
      <c r="F58" s="6" t="s">
        <v>301</v>
      </c>
      <c r="G58" s="5" t="s">
        <v>128</v>
      </c>
      <c r="H58" s="59" t="s">
        <v>59</v>
      </c>
      <c r="I58" s="12" t="s">
        <v>173</v>
      </c>
      <c r="J58" s="46">
        <v>0.44837779999999999</v>
      </c>
      <c r="K58" s="47">
        <v>-12.97245</v>
      </c>
      <c r="Q58" s="47">
        <v>17.642130000000002</v>
      </c>
      <c r="Y58" s="30" t="s">
        <v>93</v>
      </c>
    </row>
    <row r="59" spans="1:31">
      <c r="A59" s="6" t="s">
        <v>410</v>
      </c>
      <c r="B59" s="10" t="s">
        <v>527</v>
      </c>
      <c r="C59" s="10" t="s">
        <v>487</v>
      </c>
      <c r="D59" s="6" t="s">
        <v>326</v>
      </c>
      <c r="E59" s="6" t="s">
        <v>170</v>
      </c>
      <c r="F59" s="6" t="s">
        <v>301</v>
      </c>
      <c r="G59" s="5" t="s">
        <v>128</v>
      </c>
      <c r="H59" s="59" t="s">
        <v>60</v>
      </c>
      <c r="I59" s="12" t="s">
        <v>174</v>
      </c>
      <c r="J59" s="46">
        <v>0.32723469999999999</v>
      </c>
      <c r="K59" s="47">
        <v>-18.39499</v>
      </c>
      <c r="Q59" s="47">
        <v>27.157050000000002</v>
      </c>
      <c r="U59" s="46">
        <v>3.6701839999999999</v>
      </c>
      <c r="Y59" s="30" t="s">
        <v>93</v>
      </c>
    </row>
    <row r="60" spans="1:31">
      <c r="A60" s="6" t="s">
        <v>411</v>
      </c>
      <c r="B60" s="10" t="s">
        <v>527</v>
      </c>
      <c r="C60" s="10" t="s">
        <v>487</v>
      </c>
      <c r="D60" s="6" t="s">
        <v>326</v>
      </c>
      <c r="E60" s="6" t="s">
        <v>170</v>
      </c>
      <c r="F60" s="6" t="s">
        <v>301</v>
      </c>
      <c r="G60" s="5" t="s">
        <v>128</v>
      </c>
      <c r="H60" s="59" t="s">
        <v>60</v>
      </c>
      <c r="I60" s="12" t="s">
        <v>174</v>
      </c>
      <c r="J60" s="46">
        <v>0.32723469999999999</v>
      </c>
      <c r="K60" s="47">
        <v>-18.39499</v>
      </c>
      <c r="Q60" s="47">
        <v>27.157050000000002</v>
      </c>
      <c r="U60" s="46">
        <v>3.6701839999999999</v>
      </c>
      <c r="Y60" s="30" t="s">
        <v>93</v>
      </c>
    </row>
    <row r="61" spans="1:31">
      <c r="A61" s="6" t="s">
        <v>412</v>
      </c>
      <c r="B61" s="10" t="s">
        <v>527</v>
      </c>
      <c r="C61" s="10" t="s">
        <v>487</v>
      </c>
      <c r="D61" s="6" t="s">
        <v>326</v>
      </c>
      <c r="E61" s="6" t="s">
        <v>170</v>
      </c>
      <c r="F61" s="6" t="s">
        <v>301</v>
      </c>
      <c r="G61" s="5" t="s">
        <v>128</v>
      </c>
      <c r="H61" s="59" t="s">
        <v>60</v>
      </c>
      <c r="I61" s="12" t="s">
        <v>174</v>
      </c>
      <c r="J61" s="46">
        <v>0.32723469999999999</v>
      </c>
      <c r="K61" s="47">
        <v>-18.39499</v>
      </c>
      <c r="Q61" s="47">
        <v>27.157050000000002</v>
      </c>
      <c r="U61" s="46">
        <v>3.6701839999999999</v>
      </c>
      <c r="Y61" s="30" t="s">
        <v>93</v>
      </c>
    </row>
    <row r="62" spans="1:31">
      <c r="A62" s="6" t="s">
        <v>413</v>
      </c>
      <c r="B62" s="10" t="s">
        <v>527</v>
      </c>
      <c r="C62" s="10" t="s">
        <v>487</v>
      </c>
      <c r="D62" s="6" t="s">
        <v>326</v>
      </c>
      <c r="E62" s="6" t="s">
        <v>170</v>
      </c>
      <c r="F62" s="6" t="s">
        <v>301</v>
      </c>
      <c r="G62" s="5" t="s">
        <v>128</v>
      </c>
      <c r="H62" s="59" t="s">
        <v>61</v>
      </c>
      <c r="I62" s="12" t="s">
        <v>175</v>
      </c>
      <c r="J62" s="46">
        <v>0.32866410000000001</v>
      </c>
      <c r="K62" s="47">
        <v>-14.408200000000001</v>
      </c>
      <c r="Q62" s="47">
        <v>22.896090000000001</v>
      </c>
      <c r="U62" s="46">
        <v>1.9558949999999999</v>
      </c>
      <c r="Y62" s="30" t="s">
        <v>93</v>
      </c>
    </row>
    <row r="63" spans="1:31">
      <c r="A63" s="6" t="s">
        <v>414</v>
      </c>
      <c r="B63" s="10" t="s">
        <v>527</v>
      </c>
      <c r="C63" s="10" t="s">
        <v>487</v>
      </c>
      <c r="D63" s="6" t="s">
        <v>326</v>
      </c>
      <c r="E63" s="6" t="s">
        <v>170</v>
      </c>
      <c r="F63" s="6" t="s">
        <v>301</v>
      </c>
      <c r="G63" s="5" t="s">
        <v>128</v>
      </c>
      <c r="H63" s="59" t="s">
        <v>61</v>
      </c>
      <c r="I63" s="12" t="s">
        <v>175</v>
      </c>
      <c r="J63" s="46">
        <v>0.32866410000000001</v>
      </c>
      <c r="K63" s="47">
        <v>-14.408200000000001</v>
      </c>
      <c r="Q63" s="47">
        <v>22.896090000000001</v>
      </c>
      <c r="U63" s="46">
        <v>1.9558949999999999</v>
      </c>
      <c r="Y63" s="30" t="s">
        <v>93</v>
      </c>
    </row>
    <row r="64" spans="1:31" s="14" customFormat="1">
      <c r="A64" s="11" t="s">
        <v>415</v>
      </c>
      <c r="B64" s="10" t="s">
        <v>527</v>
      </c>
      <c r="C64" s="10" t="s">
        <v>487</v>
      </c>
      <c r="D64" s="11" t="s">
        <v>326</v>
      </c>
      <c r="E64" s="11" t="s">
        <v>170</v>
      </c>
      <c r="F64" s="11" t="s">
        <v>301</v>
      </c>
      <c r="G64" s="14" t="s">
        <v>128</v>
      </c>
      <c r="H64" s="60" t="s">
        <v>61</v>
      </c>
      <c r="I64" s="23" t="s">
        <v>175</v>
      </c>
      <c r="J64" s="44">
        <v>0.32866410000000001</v>
      </c>
      <c r="K64" s="45">
        <v>-14.408200000000001</v>
      </c>
      <c r="Q64" s="45">
        <v>22.896090000000001</v>
      </c>
      <c r="U64" s="44">
        <v>1.9558949999999999</v>
      </c>
      <c r="Y64" s="31" t="s">
        <v>93</v>
      </c>
    </row>
    <row r="65" spans="1:31" s="13" customFormat="1">
      <c r="A65" s="66" t="s">
        <v>62</v>
      </c>
      <c r="B65" s="86" t="s">
        <v>518</v>
      </c>
      <c r="C65" s="10" t="s">
        <v>309</v>
      </c>
      <c r="D65" s="85" t="s">
        <v>308</v>
      </c>
      <c r="E65" s="10" t="s">
        <v>169</v>
      </c>
      <c r="F65" s="10" t="s">
        <v>301</v>
      </c>
      <c r="G65" s="10" t="s">
        <v>167</v>
      </c>
      <c r="H65" s="66" t="s">
        <v>62</v>
      </c>
      <c r="I65" s="10"/>
      <c r="J65" s="13">
        <v>0.1</v>
      </c>
    </row>
    <row r="66" spans="1:31">
      <c r="A66" s="67" t="s">
        <v>63</v>
      </c>
      <c r="B66" s="86" t="s">
        <v>518</v>
      </c>
      <c r="C66" s="6" t="s">
        <v>309</v>
      </c>
      <c r="D66" s="6" t="s">
        <v>308</v>
      </c>
      <c r="E66" s="6" t="s">
        <v>169</v>
      </c>
      <c r="F66" s="6" t="s">
        <v>301</v>
      </c>
      <c r="G66" s="6" t="s">
        <v>167</v>
      </c>
      <c r="H66" s="67" t="s">
        <v>63</v>
      </c>
      <c r="I66" s="6"/>
      <c r="J66" s="5">
        <v>0.1</v>
      </c>
    </row>
    <row r="67" spans="1:31">
      <c r="A67" s="67" t="s">
        <v>64</v>
      </c>
      <c r="B67" s="86" t="s">
        <v>518</v>
      </c>
      <c r="C67" s="6" t="s">
        <v>309</v>
      </c>
      <c r="D67" s="6" t="s">
        <v>308</v>
      </c>
      <c r="E67" s="6" t="s">
        <v>169</v>
      </c>
      <c r="F67" s="6" t="s">
        <v>301</v>
      </c>
      <c r="G67" s="6" t="s">
        <v>167</v>
      </c>
      <c r="H67" s="67" t="s">
        <v>64</v>
      </c>
      <c r="I67" s="6"/>
      <c r="J67" s="5">
        <v>0.1</v>
      </c>
    </row>
    <row r="68" spans="1:31">
      <c r="A68" s="67" t="s">
        <v>65</v>
      </c>
      <c r="B68" s="86" t="s">
        <v>518</v>
      </c>
      <c r="C68" s="6" t="s">
        <v>309</v>
      </c>
      <c r="D68" s="6" t="s">
        <v>308</v>
      </c>
      <c r="E68" s="6" t="s">
        <v>169</v>
      </c>
      <c r="F68" s="6" t="s">
        <v>301</v>
      </c>
      <c r="G68" s="6" t="s">
        <v>167</v>
      </c>
      <c r="H68" s="67" t="s">
        <v>65</v>
      </c>
      <c r="I68" s="6"/>
      <c r="J68" s="5">
        <v>0.1</v>
      </c>
    </row>
    <row r="69" spans="1:31">
      <c r="A69" s="67" t="s">
        <v>66</v>
      </c>
      <c r="B69" s="86" t="s">
        <v>518</v>
      </c>
      <c r="C69" s="6" t="s">
        <v>309</v>
      </c>
      <c r="D69" s="6" t="s">
        <v>308</v>
      </c>
      <c r="E69" s="6" t="s">
        <v>169</v>
      </c>
      <c r="F69" s="6" t="s">
        <v>301</v>
      </c>
      <c r="G69" s="6" t="s">
        <v>167</v>
      </c>
      <c r="H69" s="67" t="s">
        <v>515</v>
      </c>
      <c r="I69" s="6"/>
    </row>
    <row r="70" spans="1:31">
      <c r="A70" s="67" t="s">
        <v>67</v>
      </c>
      <c r="B70" s="86" t="s">
        <v>518</v>
      </c>
      <c r="C70" s="6" t="s">
        <v>309</v>
      </c>
      <c r="D70" s="6" t="s">
        <v>308</v>
      </c>
      <c r="E70" s="6" t="s">
        <v>169</v>
      </c>
      <c r="F70" s="6" t="s">
        <v>301</v>
      </c>
      <c r="G70" s="6" t="s">
        <v>167</v>
      </c>
      <c r="H70" s="67" t="s">
        <v>515</v>
      </c>
      <c r="I70" s="6"/>
    </row>
    <row r="71" spans="1:31">
      <c r="A71" s="67" t="s">
        <v>68</v>
      </c>
      <c r="B71" s="86" t="s">
        <v>518</v>
      </c>
      <c r="C71" s="6" t="s">
        <v>309</v>
      </c>
      <c r="D71" s="6" t="s">
        <v>308</v>
      </c>
      <c r="E71" s="6" t="s">
        <v>169</v>
      </c>
      <c r="F71" s="6" t="s">
        <v>301</v>
      </c>
      <c r="G71" s="6" t="s">
        <v>167</v>
      </c>
      <c r="H71" s="67" t="s">
        <v>515</v>
      </c>
      <c r="I71" s="6"/>
    </row>
    <row r="72" spans="1:31">
      <c r="A72" s="67" t="s">
        <v>69</v>
      </c>
      <c r="B72" s="86" t="s">
        <v>518</v>
      </c>
      <c r="C72" s="6" t="s">
        <v>309</v>
      </c>
      <c r="D72" s="6" t="s">
        <v>308</v>
      </c>
      <c r="E72" s="6" t="s">
        <v>169</v>
      </c>
      <c r="F72" s="6" t="s">
        <v>301</v>
      </c>
      <c r="G72" s="6" t="s">
        <v>167</v>
      </c>
      <c r="H72" s="67" t="s">
        <v>515</v>
      </c>
      <c r="I72" s="6"/>
    </row>
    <row r="73" spans="1:31" s="29" customFormat="1">
      <c r="A73" s="68" t="s">
        <v>416</v>
      </c>
      <c r="B73" s="10" t="s">
        <v>527</v>
      </c>
      <c r="C73" s="10" t="s">
        <v>405</v>
      </c>
      <c r="D73" s="10" t="s">
        <v>327</v>
      </c>
      <c r="E73" s="10" t="s">
        <v>170</v>
      </c>
      <c r="F73" s="10" t="s">
        <v>301</v>
      </c>
      <c r="G73" s="10" t="s">
        <v>167</v>
      </c>
      <c r="H73" s="61" t="s">
        <v>104</v>
      </c>
      <c r="I73" s="22" t="s">
        <v>172</v>
      </c>
      <c r="J73" s="29">
        <v>2.7E-2</v>
      </c>
      <c r="K73" s="48">
        <v>-0.33700000000000002</v>
      </c>
      <c r="L73" s="48">
        <v>-0.151308114750691</v>
      </c>
      <c r="Q73" s="48">
        <v>0</v>
      </c>
      <c r="V73" s="48">
        <v>0.878</v>
      </c>
      <c r="W73" s="13">
        <v>0.86358170086251695</v>
      </c>
      <c r="Y73" s="29" t="s">
        <v>93</v>
      </c>
      <c r="AA73" s="29" t="s">
        <v>96</v>
      </c>
      <c r="AE73" s="51">
        <v>0.29899999999999999</v>
      </c>
    </row>
    <row r="74" spans="1:31" s="30" customFormat="1">
      <c r="A74" s="69" t="s">
        <v>417</v>
      </c>
      <c r="B74" s="10" t="s">
        <v>527</v>
      </c>
      <c r="C74" s="6" t="s">
        <v>405</v>
      </c>
      <c r="D74" s="6" t="s">
        <v>327</v>
      </c>
      <c r="E74" s="6" t="s">
        <v>170</v>
      </c>
      <c r="F74" s="6" t="s">
        <v>301</v>
      </c>
      <c r="G74" s="6" t="s">
        <v>167</v>
      </c>
      <c r="H74" s="62" t="s">
        <v>104</v>
      </c>
      <c r="I74" s="12" t="s">
        <v>172</v>
      </c>
      <c r="J74" s="30">
        <v>2.7E-2</v>
      </c>
      <c r="K74" s="49">
        <v>-0.33700000000000002</v>
      </c>
      <c r="L74" s="49">
        <v>-0.151308114750691</v>
      </c>
      <c r="Q74" s="49">
        <v>0</v>
      </c>
      <c r="V74" s="49">
        <v>0.878</v>
      </c>
      <c r="W74" s="5">
        <v>0.86358170086251695</v>
      </c>
      <c r="Y74" s="30" t="s">
        <v>93</v>
      </c>
      <c r="AA74" s="30" t="s">
        <v>96</v>
      </c>
      <c r="AE74" s="52">
        <v>0.29899999999999999</v>
      </c>
    </row>
    <row r="75" spans="1:31" s="30" customFormat="1">
      <c r="A75" s="69" t="s">
        <v>418</v>
      </c>
      <c r="B75" s="10" t="s">
        <v>527</v>
      </c>
      <c r="C75" s="6" t="s">
        <v>405</v>
      </c>
      <c r="D75" s="6" t="s">
        <v>327</v>
      </c>
      <c r="E75" s="6" t="s">
        <v>170</v>
      </c>
      <c r="F75" s="6" t="s">
        <v>301</v>
      </c>
      <c r="G75" s="6" t="s">
        <v>167</v>
      </c>
      <c r="H75" s="62" t="s">
        <v>104</v>
      </c>
      <c r="I75" s="12" t="s">
        <v>172</v>
      </c>
      <c r="J75" s="30">
        <v>2.7E-2</v>
      </c>
      <c r="K75" s="49">
        <v>-0.33700000000000002</v>
      </c>
      <c r="L75" s="49">
        <v>-0.151308114750691</v>
      </c>
      <c r="Q75" s="49">
        <v>0</v>
      </c>
      <c r="V75" s="49">
        <v>0.878</v>
      </c>
      <c r="W75" s="5">
        <v>0.86358170086251695</v>
      </c>
      <c r="Y75" s="30" t="s">
        <v>93</v>
      </c>
      <c r="AA75" s="30" t="s">
        <v>96</v>
      </c>
      <c r="AE75" s="52">
        <v>0.29899999999999999</v>
      </c>
    </row>
    <row r="76" spans="1:31">
      <c r="A76" s="69" t="s">
        <v>419</v>
      </c>
      <c r="B76" s="10" t="s">
        <v>527</v>
      </c>
      <c r="C76" s="6" t="s">
        <v>405</v>
      </c>
      <c r="D76" s="6" t="s">
        <v>397</v>
      </c>
      <c r="E76" s="6" t="s">
        <v>170</v>
      </c>
      <c r="F76" s="6" t="s">
        <v>301</v>
      </c>
      <c r="G76" s="6" t="s">
        <v>167</v>
      </c>
      <c r="H76" s="59" t="s">
        <v>75</v>
      </c>
      <c r="I76" s="12" t="s">
        <v>172</v>
      </c>
      <c r="J76" s="5">
        <v>4.3999999999999997E-2</v>
      </c>
      <c r="K76" s="49">
        <v>-0.52300000000000002</v>
      </c>
      <c r="L76" s="49">
        <v>-0.22220072795676099</v>
      </c>
      <c r="Q76" s="49">
        <v>0</v>
      </c>
      <c r="V76" s="49">
        <v>1.458</v>
      </c>
      <c r="W76" s="5">
        <v>1.4368262739973601</v>
      </c>
      <c r="Y76" s="30" t="s">
        <v>93</v>
      </c>
      <c r="AA76" s="30" t="s">
        <v>96</v>
      </c>
      <c r="AE76" s="53">
        <v>0.312</v>
      </c>
    </row>
    <row r="77" spans="1:31">
      <c r="A77" s="69" t="s">
        <v>420</v>
      </c>
      <c r="B77" s="10" t="s">
        <v>527</v>
      </c>
      <c r="C77" s="6" t="s">
        <v>405</v>
      </c>
      <c r="D77" s="6" t="s">
        <v>397</v>
      </c>
      <c r="E77" s="6" t="s">
        <v>170</v>
      </c>
      <c r="F77" s="6" t="s">
        <v>301</v>
      </c>
      <c r="G77" s="6" t="s">
        <v>167</v>
      </c>
      <c r="H77" s="59" t="s">
        <v>75</v>
      </c>
      <c r="I77" s="12" t="s">
        <v>172</v>
      </c>
      <c r="J77" s="5">
        <v>4.3999999999999997E-2</v>
      </c>
      <c r="K77" s="49">
        <v>-0.52300000000000002</v>
      </c>
      <c r="L77" s="49">
        <v>-0.22220072795676099</v>
      </c>
      <c r="Q77" s="49">
        <v>0</v>
      </c>
      <c r="V77" s="49">
        <v>1.458</v>
      </c>
      <c r="W77" s="5">
        <v>1.4368262739973601</v>
      </c>
      <c r="Y77" s="30" t="s">
        <v>93</v>
      </c>
      <c r="AA77" s="30" t="s">
        <v>96</v>
      </c>
      <c r="AE77" s="53">
        <v>0.312</v>
      </c>
    </row>
    <row r="78" spans="1:31">
      <c r="A78" s="69" t="s">
        <v>421</v>
      </c>
      <c r="B78" s="10" t="s">
        <v>527</v>
      </c>
      <c r="C78" s="6" t="s">
        <v>405</v>
      </c>
      <c r="D78" s="6" t="s">
        <v>397</v>
      </c>
      <c r="E78" s="6" t="s">
        <v>170</v>
      </c>
      <c r="F78" s="6" t="s">
        <v>301</v>
      </c>
      <c r="G78" s="6" t="s">
        <v>167</v>
      </c>
      <c r="H78" s="59" t="s">
        <v>75</v>
      </c>
      <c r="I78" s="12" t="s">
        <v>172</v>
      </c>
      <c r="J78" s="5">
        <v>4.3999999999999997E-2</v>
      </c>
      <c r="K78" s="49">
        <v>-0.52300000000000002</v>
      </c>
      <c r="L78" s="49">
        <v>-0.22220072795676099</v>
      </c>
      <c r="Q78" s="49">
        <v>0</v>
      </c>
      <c r="V78" s="49">
        <v>1.458</v>
      </c>
      <c r="W78" s="5">
        <v>1.4368262739973601</v>
      </c>
      <c r="Y78" s="30" t="s">
        <v>93</v>
      </c>
      <c r="AA78" s="30" t="s">
        <v>96</v>
      </c>
      <c r="AE78" s="53">
        <v>0.312</v>
      </c>
    </row>
    <row r="79" spans="1:31">
      <c r="A79" s="69" t="s">
        <v>422</v>
      </c>
      <c r="B79" s="10" t="s">
        <v>527</v>
      </c>
      <c r="C79" s="6" t="s">
        <v>405</v>
      </c>
      <c r="D79" s="6" t="s">
        <v>398</v>
      </c>
      <c r="E79" s="6" t="s">
        <v>170</v>
      </c>
      <c r="F79" s="6" t="s">
        <v>301</v>
      </c>
      <c r="G79" s="6" t="s">
        <v>167</v>
      </c>
      <c r="H79" s="59" t="s">
        <v>76</v>
      </c>
      <c r="I79" s="12" t="s">
        <v>172</v>
      </c>
      <c r="J79" s="5">
        <v>0.10199999999999999</v>
      </c>
      <c r="K79" s="49">
        <v>-1.171</v>
      </c>
      <c r="L79" s="49">
        <v>-0.59240301221006997</v>
      </c>
      <c r="Q79" s="49">
        <v>0</v>
      </c>
      <c r="V79" s="49">
        <v>2.5470000000000002</v>
      </c>
      <c r="W79" s="5">
        <v>2.4905493340587901</v>
      </c>
      <c r="Y79" s="30" t="s">
        <v>93</v>
      </c>
      <c r="AA79" s="30" t="s">
        <v>96</v>
      </c>
      <c r="AE79" s="53">
        <v>0.371</v>
      </c>
    </row>
    <row r="80" spans="1:31">
      <c r="A80" s="69" t="s">
        <v>423</v>
      </c>
      <c r="B80" s="10" t="s">
        <v>527</v>
      </c>
      <c r="C80" s="6" t="s">
        <v>405</v>
      </c>
      <c r="D80" s="6" t="s">
        <v>398</v>
      </c>
      <c r="E80" s="6" t="s">
        <v>170</v>
      </c>
      <c r="F80" s="6" t="s">
        <v>301</v>
      </c>
      <c r="G80" s="6" t="s">
        <v>167</v>
      </c>
      <c r="H80" s="59" t="s">
        <v>76</v>
      </c>
      <c r="I80" s="12" t="s">
        <v>172</v>
      </c>
      <c r="J80" s="5">
        <v>0.10199999999999999</v>
      </c>
      <c r="K80" s="49">
        <v>-1.171</v>
      </c>
      <c r="L80" s="49">
        <v>-0.59240301221006997</v>
      </c>
      <c r="Q80" s="49">
        <v>0</v>
      </c>
      <c r="V80" s="49">
        <v>2.5470000000000002</v>
      </c>
      <c r="W80" s="5">
        <v>2.4905493340587901</v>
      </c>
      <c r="Y80" s="30" t="s">
        <v>93</v>
      </c>
      <c r="AA80" s="30" t="s">
        <v>96</v>
      </c>
      <c r="AE80" s="53">
        <v>0.371</v>
      </c>
    </row>
    <row r="81" spans="1:31">
      <c r="A81" s="69" t="s">
        <v>424</v>
      </c>
      <c r="B81" s="10" t="s">
        <v>527</v>
      </c>
      <c r="C81" s="6" t="s">
        <v>405</v>
      </c>
      <c r="D81" s="6" t="s">
        <v>398</v>
      </c>
      <c r="E81" s="6" t="s">
        <v>170</v>
      </c>
      <c r="F81" s="6" t="s">
        <v>301</v>
      </c>
      <c r="G81" s="6" t="s">
        <v>167</v>
      </c>
      <c r="H81" s="59" t="s">
        <v>76</v>
      </c>
      <c r="I81" s="12" t="s">
        <v>172</v>
      </c>
      <c r="J81" s="5">
        <v>0.10199999999999999</v>
      </c>
      <c r="K81" s="49">
        <v>-1.171</v>
      </c>
      <c r="L81" s="49">
        <v>-0.59240301221006997</v>
      </c>
      <c r="Q81" s="49">
        <v>0</v>
      </c>
      <c r="V81" s="49">
        <v>2.5470000000000002</v>
      </c>
      <c r="W81" s="5">
        <v>2.4905493340587901</v>
      </c>
      <c r="Y81" s="30" t="s">
        <v>93</v>
      </c>
      <c r="AA81" s="30" t="s">
        <v>96</v>
      </c>
      <c r="AE81" s="53">
        <v>0.371</v>
      </c>
    </row>
    <row r="82" spans="1:31">
      <c r="A82" s="69" t="s">
        <v>425</v>
      </c>
      <c r="B82" s="10" t="s">
        <v>527</v>
      </c>
      <c r="C82" s="6" t="s">
        <v>405</v>
      </c>
      <c r="D82" s="6" t="s">
        <v>399</v>
      </c>
      <c r="E82" s="6" t="s">
        <v>170</v>
      </c>
      <c r="F82" s="6" t="s">
        <v>301</v>
      </c>
      <c r="G82" s="6" t="s">
        <v>167</v>
      </c>
      <c r="H82" s="59" t="s">
        <v>77</v>
      </c>
      <c r="I82" s="12" t="s">
        <v>172</v>
      </c>
      <c r="J82" s="5">
        <v>0.152</v>
      </c>
      <c r="K82" s="49">
        <v>-1.6830000000000001</v>
      </c>
      <c r="L82" s="49">
        <v>-0.81572561388224996</v>
      </c>
      <c r="Q82" s="49">
        <v>0</v>
      </c>
      <c r="V82" s="49">
        <v>3.81518914277475</v>
      </c>
      <c r="W82" s="5">
        <v>3.855</v>
      </c>
      <c r="Y82" s="30" t="s">
        <v>93</v>
      </c>
      <c r="AA82" s="30" t="s">
        <v>96</v>
      </c>
      <c r="AE82" s="53">
        <v>0.41899999999999998</v>
      </c>
    </row>
    <row r="83" spans="1:31">
      <c r="A83" s="69" t="s">
        <v>426</v>
      </c>
      <c r="B83" s="10" t="s">
        <v>527</v>
      </c>
      <c r="C83" s="6" t="s">
        <v>405</v>
      </c>
      <c r="D83" s="6" t="s">
        <v>399</v>
      </c>
      <c r="E83" s="6" t="s">
        <v>170</v>
      </c>
      <c r="F83" s="6" t="s">
        <v>301</v>
      </c>
      <c r="G83" s="6" t="s">
        <v>167</v>
      </c>
      <c r="H83" s="59" t="s">
        <v>77</v>
      </c>
      <c r="I83" s="12" t="s">
        <v>172</v>
      </c>
      <c r="J83" s="5">
        <v>0.152</v>
      </c>
      <c r="K83" s="49">
        <v>-1.6830000000000001</v>
      </c>
      <c r="L83" s="49">
        <v>-0.81572561388224996</v>
      </c>
      <c r="Q83" s="49">
        <v>0</v>
      </c>
      <c r="V83" s="49">
        <v>3.81518914277475</v>
      </c>
      <c r="W83" s="5">
        <v>3.855</v>
      </c>
      <c r="Y83" s="30" t="s">
        <v>93</v>
      </c>
      <c r="AA83" s="30" t="s">
        <v>96</v>
      </c>
      <c r="AE83" s="53">
        <v>0.41899999999999998</v>
      </c>
    </row>
    <row r="84" spans="1:31">
      <c r="A84" s="69" t="s">
        <v>427</v>
      </c>
      <c r="B84" s="10" t="s">
        <v>527</v>
      </c>
      <c r="C84" s="6" t="s">
        <v>405</v>
      </c>
      <c r="D84" s="6" t="s">
        <v>399</v>
      </c>
      <c r="E84" s="6" t="s">
        <v>170</v>
      </c>
      <c r="F84" s="6" t="s">
        <v>301</v>
      </c>
      <c r="G84" s="6" t="s">
        <v>167</v>
      </c>
      <c r="H84" s="59" t="s">
        <v>77</v>
      </c>
      <c r="I84" s="12" t="s">
        <v>172</v>
      </c>
      <c r="J84" s="5">
        <v>0.152</v>
      </c>
      <c r="K84" s="49">
        <v>-1.6830000000000001</v>
      </c>
      <c r="L84" s="49">
        <v>-0.81572561388224996</v>
      </c>
      <c r="Q84" s="49">
        <v>0</v>
      </c>
      <c r="V84" s="49">
        <v>3.81518914277475</v>
      </c>
      <c r="W84" s="5">
        <v>3.855</v>
      </c>
      <c r="Y84" s="30" t="s">
        <v>93</v>
      </c>
      <c r="AA84" s="30" t="s">
        <v>96</v>
      </c>
      <c r="AE84" s="53">
        <v>0.41899999999999998</v>
      </c>
    </row>
    <row r="85" spans="1:31">
      <c r="A85" s="69" t="s">
        <v>428</v>
      </c>
      <c r="B85" s="10" t="s">
        <v>527</v>
      </c>
      <c r="C85" s="6" t="s">
        <v>405</v>
      </c>
      <c r="D85" s="6" t="s">
        <v>400</v>
      </c>
      <c r="E85" s="6" t="s">
        <v>170</v>
      </c>
      <c r="F85" s="6" t="s">
        <v>301</v>
      </c>
      <c r="G85" s="6" t="s">
        <v>167</v>
      </c>
      <c r="H85" s="59" t="s">
        <v>78</v>
      </c>
      <c r="I85" s="12" t="s">
        <v>172</v>
      </c>
      <c r="J85" s="5">
        <v>0.214</v>
      </c>
      <c r="K85" s="49">
        <v>-2.4769999999999999</v>
      </c>
      <c r="L85" s="49">
        <v>-1.22567508688439</v>
      </c>
      <c r="Q85" s="49">
        <v>-3.4044364549679102E-12</v>
      </c>
      <c r="V85" s="49">
        <v>5.5949999999999998</v>
      </c>
      <c r="W85" s="5">
        <v>5.4782042149448502</v>
      </c>
      <c r="Y85" s="30" t="s">
        <v>93</v>
      </c>
      <c r="AA85" s="30" t="s">
        <v>96</v>
      </c>
      <c r="AE85" s="53">
        <v>0.32</v>
      </c>
    </row>
    <row r="86" spans="1:31">
      <c r="A86" s="69" t="s">
        <v>429</v>
      </c>
      <c r="B86" s="10" t="s">
        <v>527</v>
      </c>
      <c r="C86" s="6" t="s">
        <v>405</v>
      </c>
      <c r="D86" s="6" t="s">
        <v>400</v>
      </c>
      <c r="E86" s="6" t="s">
        <v>170</v>
      </c>
      <c r="F86" s="6" t="s">
        <v>301</v>
      </c>
      <c r="G86" s="6" t="s">
        <v>167</v>
      </c>
      <c r="H86" s="59" t="s">
        <v>78</v>
      </c>
      <c r="I86" s="12" t="s">
        <v>172</v>
      </c>
      <c r="J86" s="5">
        <v>0.214</v>
      </c>
      <c r="K86" s="49">
        <v>-2.4769999999999999</v>
      </c>
      <c r="L86" s="49">
        <v>-1.22567508688439</v>
      </c>
      <c r="Q86" s="49">
        <v>-3.4044364549679102E-12</v>
      </c>
      <c r="V86" s="49">
        <v>5.5949999999999998</v>
      </c>
      <c r="W86" s="5">
        <v>5.4782042149448502</v>
      </c>
      <c r="Y86" s="30" t="s">
        <v>93</v>
      </c>
      <c r="AA86" s="30" t="s">
        <v>96</v>
      </c>
      <c r="AE86" s="53">
        <v>0.32</v>
      </c>
    </row>
    <row r="87" spans="1:31">
      <c r="A87" s="69" t="s">
        <v>430</v>
      </c>
      <c r="B87" s="10" t="s">
        <v>527</v>
      </c>
      <c r="C87" s="6" t="s">
        <v>405</v>
      </c>
      <c r="D87" s="6" t="s">
        <v>400</v>
      </c>
      <c r="E87" s="6" t="s">
        <v>170</v>
      </c>
      <c r="F87" s="6" t="s">
        <v>301</v>
      </c>
      <c r="G87" s="6" t="s">
        <v>167</v>
      </c>
      <c r="H87" s="59" t="s">
        <v>78</v>
      </c>
      <c r="I87" s="12" t="s">
        <v>172</v>
      </c>
      <c r="J87" s="5">
        <v>0.214</v>
      </c>
      <c r="K87" s="49">
        <v>-2.4769999999999999</v>
      </c>
      <c r="L87" s="49">
        <v>-1.22567508688439</v>
      </c>
      <c r="Q87" s="49">
        <v>-3.4044364549679102E-12</v>
      </c>
      <c r="V87" s="49">
        <v>5.5949999999999998</v>
      </c>
      <c r="W87" s="5">
        <v>5.4782042149448502</v>
      </c>
      <c r="Y87" s="30" t="s">
        <v>93</v>
      </c>
      <c r="AA87" s="30" t="s">
        <v>96</v>
      </c>
      <c r="AE87" s="53">
        <v>0.32</v>
      </c>
    </row>
    <row r="88" spans="1:31">
      <c r="A88" s="69" t="s">
        <v>431</v>
      </c>
      <c r="B88" s="10" t="s">
        <v>527</v>
      </c>
      <c r="C88" s="6" t="s">
        <v>405</v>
      </c>
      <c r="D88" s="6" t="s">
        <v>401</v>
      </c>
      <c r="E88" s="6" t="s">
        <v>170</v>
      </c>
      <c r="F88" s="6" t="s">
        <v>301</v>
      </c>
      <c r="G88" s="6" t="s">
        <v>167</v>
      </c>
      <c r="H88" s="59" t="s">
        <v>79</v>
      </c>
      <c r="I88" s="12" t="s">
        <v>172</v>
      </c>
      <c r="J88" s="5">
        <v>0.254</v>
      </c>
      <c r="K88" s="49">
        <v>-2.8620000000000001</v>
      </c>
      <c r="L88" s="49">
        <v>-1.4136198692773401</v>
      </c>
      <c r="Q88" s="49">
        <v>7.3805128675275E-12</v>
      </c>
      <c r="V88" s="49">
        <v>6.484</v>
      </c>
      <c r="W88" s="5">
        <v>6.2489999999999997</v>
      </c>
      <c r="Y88" s="30" t="s">
        <v>93</v>
      </c>
      <c r="AA88" s="30" t="s">
        <v>96</v>
      </c>
      <c r="AE88" s="53">
        <v>0.37799999999999995</v>
      </c>
    </row>
    <row r="89" spans="1:31">
      <c r="A89" s="69" t="s">
        <v>432</v>
      </c>
      <c r="B89" s="10" t="s">
        <v>527</v>
      </c>
      <c r="C89" s="6" t="s">
        <v>405</v>
      </c>
      <c r="D89" s="6" t="s">
        <v>401</v>
      </c>
      <c r="E89" s="6" t="s">
        <v>170</v>
      </c>
      <c r="F89" s="6" t="s">
        <v>301</v>
      </c>
      <c r="G89" s="6" t="s">
        <v>167</v>
      </c>
      <c r="H89" s="59" t="s">
        <v>79</v>
      </c>
      <c r="I89" s="12" t="s">
        <v>172</v>
      </c>
      <c r="J89" s="5">
        <v>0.254</v>
      </c>
      <c r="K89" s="49">
        <v>-2.8620000000000001</v>
      </c>
      <c r="L89" s="49">
        <v>-1.4136198692773401</v>
      </c>
      <c r="Q89" s="49">
        <v>7.3805128675275E-12</v>
      </c>
      <c r="V89" s="49">
        <v>6.484</v>
      </c>
      <c r="W89" s="5">
        <v>6.2489999999999997</v>
      </c>
      <c r="Y89" s="30" t="s">
        <v>93</v>
      </c>
      <c r="AA89" s="30" t="s">
        <v>96</v>
      </c>
      <c r="AE89" s="53">
        <v>0.37799999999999995</v>
      </c>
    </row>
    <row r="90" spans="1:31">
      <c r="A90" s="69" t="s">
        <v>433</v>
      </c>
      <c r="B90" s="10" t="s">
        <v>527</v>
      </c>
      <c r="C90" s="6" t="s">
        <v>405</v>
      </c>
      <c r="D90" s="6" t="s">
        <v>401</v>
      </c>
      <c r="E90" s="6" t="s">
        <v>170</v>
      </c>
      <c r="F90" s="6" t="s">
        <v>301</v>
      </c>
      <c r="G90" s="6" t="s">
        <v>167</v>
      </c>
      <c r="H90" s="59" t="s">
        <v>79</v>
      </c>
      <c r="I90" s="12" t="s">
        <v>172</v>
      </c>
      <c r="J90" s="5">
        <v>0.254</v>
      </c>
      <c r="K90" s="49">
        <v>-2.8620000000000001</v>
      </c>
      <c r="L90" s="49">
        <v>-1.4136198692773401</v>
      </c>
      <c r="Q90" s="49">
        <v>7.3805128675275E-12</v>
      </c>
      <c r="V90" s="49">
        <v>6.484</v>
      </c>
      <c r="W90" s="5">
        <v>6.2489999999999997</v>
      </c>
      <c r="Y90" s="30" t="s">
        <v>93</v>
      </c>
      <c r="AA90" s="30" t="s">
        <v>96</v>
      </c>
      <c r="AE90" s="53">
        <v>0.37799999999999995</v>
      </c>
    </row>
    <row r="91" spans="1:31">
      <c r="A91" s="69" t="s">
        <v>434</v>
      </c>
      <c r="B91" s="10" t="s">
        <v>527</v>
      </c>
      <c r="C91" s="6" t="s">
        <v>405</v>
      </c>
      <c r="D91" s="6" t="s">
        <v>402</v>
      </c>
      <c r="E91" s="6" t="s">
        <v>170</v>
      </c>
      <c r="F91" s="6" t="s">
        <v>301</v>
      </c>
      <c r="G91" s="6" t="s">
        <v>167</v>
      </c>
      <c r="H91" s="59" t="s">
        <v>80</v>
      </c>
      <c r="I91" s="12" t="s">
        <v>172</v>
      </c>
      <c r="J91" s="5">
        <v>0.28399999999999997</v>
      </c>
      <c r="K91" s="49">
        <v>-3.2050000000000001</v>
      </c>
      <c r="L91" s="49">
        <v>-1.47353470842518</v>
      </c>
      <c r="Q91" s="49">
        <v>-3.4111879987364099E-12</v>
      </c>
      <c r="V91" s="49">
        <v>8.0890000000000004</v>
      </c>
      <c r="W91" s="5">
        <v>7.9485854277214001</v>
      </c>
      <c r="Y91" s="30" t="s">
        <v>93</v>
      </c>
      <c r="AA91" s="30" t="s">
        <v>96</v>
      </c>
      <c r="AE91" s="53">
        <v>0.39100000000000001</v>
      </c>
    </row>
    <row r="92" spans="1:31">
      <c r="A92" s="69" t="s">
        <v>435</v>
      </c>
      <c r="B92" s="10" t="s">
        <v>527</v>
      </c>
      <c r="C92" s="6" t="s">
        <v>405</v>
      </c>
      <c r="D92" s="6" t="s">
        <v>402</v>
      </c>
      <c r="E92" s="6" t="s">
        <v>170</v>
      </c>
      <c r="F92" s="6" t="s">
        <v>301</v>
      </c>
      <c r="G92" s="6" t="s">
        <v>167</v>
      </c>
      <c r="H92" s="59" t="s">
        <v>80</v>
      </c>
      <c r="I92" s="12" t="s">
        <v>172</v>
      </c>
      <c r="J92" s="5">
        <v>0.28399999999999997</v>
      </c>
      <c r="K92" s="49">
        <v>-3.2050000000000001</v>
      </c>
      <c r="L92" s="49">
        <v>-1.47353470842518</v>
      </c>
      <c r="Q92" s="49">
        <v>-3.4111879987364099E-12</v>
      </c>
      <c r="V92" s="49">
        <v>8.0890000000000004</v>
      </c>
      <c r="W92" s="5">
        <v>7.9485854277214001</v>
      </c>
      <c r="Y92" s="30" t="s">
        <v>93</v>
      </c>
      <c r="AA92" s="30" t="s">
        <v>96</v>
      </c>
      <c r="AE92" s="53">
        <v>0.39100000000000001</v>
      </c>
    </row>
    <row r="93" spans="1:31">
      <c r="A93" s="69" t="s">
        <v>436</v>
      </c>
      <c r="B93" s="10" t="s">
        <v>527</v>
      </c>
      <c r="C93" s="6" t="s">
        <v>405</v>
      </c>
      <c r="D93" s="6" t="s">
        <v>402</v>
      </c>
      <c r="E93" s="6" t="s">
        <v>170</v>
      </c>
      <c r="F93" s="6" t="s">
        <v>301</v>
      </c>
      <c r="G93" s="6" t="s">
        <v>167</v>
      </c>
      <c r="H93" s="59" t="s">
        <v>80</v>
      </c>
      <c r="I93" s="12" t="s">
        <v>172</v>
      </c>
      <c r="J93" s="5">
        <v>0.28399999999999997</v>
      </c>
      <c r="K93" s="49">
        <v>-3.2050000000000001</v>
      </c>
      <c r="L93" s="49">
        <v>-1.47353470842518</v>
      </c>
      <c r="Q93" s="49">
        <v>-3.4111879987364099E-12</v>
      </c>
      <c r="V93" s="49">
        <v>8.0890000000000004</v>
      </c>
      <c r="W93" s="5">
        <v>7.9485854277214001</v>
      </c>
      <c r="Y93" s="30" t="s">
        <v>93</v>
      </c>
      <c r="AA93" s="30" t="s">
        <v>96</v>
      </c>
      <c r="AE93" s="53">
        <v>0.39100000000000001</v>
      </c>
    </row>
    <row r="94" spans="1:31">
      <c r="A94" s="69" t="s">
        <v>437</v>
      </c>
      <c r="B94" s="10" t="s">
        <v>527</v>
      </c>
      <c r="C94" s="6" t="s">
        <v>405</v>
      </c>
      <c r="D94" s="6" t="s">
        <v>403</v>
      </c>
      <c r="E94" s="6" t="s">
        <v>170</v>
      </c>
      <c r="F94" s="6" t="s">
        <v>301</v>
      </c>
      <c r="G94" s="6" t="s">
        <v>167</v>
      </c>
      <c r="H94" s="59" t="s">
        <v>81</v>
      </c>
      <c r="I94" s="12" t="s">
        <v>172</v>
      </c>
      <c r="J94" s="5">
        <v>0.33400000000000002</v>
      </c>
      <c r="K94" s="49">
        <v>-5.2350000000000003</v>
      </c>
      <c r="L94" s="49">
        <v>-1.99253212300414</v>
      </c>
      <c r="Q94" s="49">
        <v>2.0830000000081101</v>
      </c>
      <c r="V94" s="49">
        <v>11.872999999999999</v>
      </c>
      <c r="W94" s="5">
        <v>9.6077296533960403</v>
      </c>
      <c r="Y94" s="30" t="s">
        <v>93</v>
      </c>
      <c r="AA94" s="30" t="s">
        <v>96</v>
      </c>
      <c r="AE94" s="53">
        <v>0.41899999999999998</v>
      </c>
    </row>
    <row r="95" spans="1:31">
      <c r="A95" s="69" t="s">
        <v>438</v>
      </c>
      <c r="B95" s="10" t="s">
        <v>527</v>
      </c>
      <c r="C95" s="6" t="s">
        <v>405</v>
      </c>
      <c r="D95" s="6" t="s">
        <v>403</v>
      </c>
      <c r="E95" s="6" t="s">
        <v>170</v>
      </c>
      <c r="F95" s="6" t="s">
        <v>301</v>
      </c>
      <c r="G95" s="6" t="s">
        <v>167</v>
      </c>
      <c r="H95" s="59" t="s">
        <v>81</v>
      </c>
      <c r="I95" s="12" t="s">
        <v>172</v>
      </c>
      <c r="J95" s="5">
        <v>0.33400000000000002</v>
      </c>
      <c r="K95" s="49">
        <v>-5.2350000000000003</v>
      </c>
      <c r="L95" s="49">
        <v>-1.99253212300414</v>
      </c>
      <c r="Q95" s="49">
        <v>2.0830000000081101</v>
      </c>
      <c r="V95" s="49">
        <v>11.872999999999999</v>
      </c>
      <c r="W95" s="5">
        <v>9.6077296533960403</v>
      </c>
      <c r="Y95" s="30" t="s">
        <v>93</v>
      </c>
      <c r="AA95" s="30" t="s">
        <v>96</v>
      </c>
      <c r="AE95" s="53">
        <v>0.41899999999999998</v>
      </c>
    </row>
    <row r="96" spans="1:31">
      <c r="A96" s="69" t="s">
        <v>439</v>
      </c>
      <c r="B96" s="10" t="s">
        <v>527</v>
      </c>
      <c r="C96" s="6" t="s">
        <v>405</v>
      </c>
      <c r="D96" s="6" t="s">
        <v>403</v>
      </c>
      <c r="E96" s="6" t="s">
        <v>170</v>
      </c>
      <c r="F96" s="6" t="s">
        <v>301</v>
      </c>
      <c r="G96" s="6" t="s">
        <v>167</v>
      </c>
      <c r="H96" s="59" t="s">
        <v>81</v>
      </c>
      <c r="I96" s="12" t="s">
        <v>172</v>
      </c>
      <c r="J96" s="5">
        <v>0.33400000000000002</v>
      </c>
      <c r="K96" s="49">
        <v>-5.2350000000000003</v>
      </c>
      <c r="L96" s="49">
        <v>-1.99253212300414</v>
      </c>
      <c r="Q96" s="49">
        <v>2.0830000000081101</v>
      </c>
      <c r="V96" s="49">
        <v>11.872999999999999</v>
      </c>
      <c r="W96" s="5">
        <v>9.6077296533960403</v>
      </c>
      <c r="Y96" s="30" t="s">
        <v>93</v>
      </c>
      <c r="AA96" s="30" t="s">
        <v>96</v>
      </c>
      <c r="AE96" s="53">
        <v>0.41899999999999998</v>
      </c>
    </row>
    <row r="97" spans="1:31">
      <c r="A97" s="69" t="s">
        <v>440</v>
      </c>
      <c r="B97" s="10" t="s">
        <v>527</v>
      </c>
      <c r="C97" s="6" t="s">
        <v>405</v>
      </c>
      <c r="D97" s="6" t="s">
        <v>404</v>
      </c>
      <c r="E97" s="6" t="s">
        <v>170</v>
      </c>
      <c r="F97" s="6" t="s">
        <v>301</v>
      </c>
      <c r="G97" s="6" t="s">
        <v>167</v>
      </c>
      <c r="H97" s="59" t="s">
        <v>82</v>
      </c>
      <c r="I97" s="12" t="s">
        <v>172</v>
      </c>
      <c r="J97" s="5">
        <v>0.379</v>
      </c>
      <c r="K97" s="49">
        <v>-6.9569999999999999</v>
      </c>
      <c r="L97" s="49">
        <v>-2.0155334705947299</v>
      </c>
      <c r="Q97" s="49">
        <v>5.5389999999999997</v>
      </c>
      <c r="V97" s="49">
        <v>14.304133448972699</v>
      </c>
      <c r="W97" s="5">
        <v>8.8979999999999997</v>
      </c>
      <c r="Y97" s="30" t="s">
        <v>93</v>
      </c>
      <c r="AA97" s="30" t="s">
        <v>96</v>
      </c>
      <c r="AE97" s="53">
        <v>0.39100000000000001</v>
      </c>
    </row>
    <row r="98" spans="1:31">
      <c r="A98" s="69" t="s">
        <v>441</v>
      </c>
      <c r="B98" s="10" t="s">
        <v>527</v>
      </c>
      <c r="C98" s="6" t="s">
        <v>405</v>
      </c>
      <c r="D98" s="6" t="s">
        <v>404</v>
      </c>
      <c r="E98" s="6" t="s">
        <v>170</v>
      </c>
      <c r="F98" s="6" t="s">
        <v>301</v>
      </c>
      <c r="G98" s="6" t="s">
        <v>167</v>
      </c>
      <c r="H98" s="59" t="s">
        <v>82</v>
      </c>
      <c r="I98" s="12" t="s">
        <v>172</v>
      </c>
      <c r="J98" s="5">
        <v>0.379</v>
      </c>
      <c r="K98" s="49">
        <v>-6.9569999999999999</v>
      </c>
      <c r="L98" s="49">
        <v>-2.0155334705947299</v>
      </c>
      <c r="Q98" s="49">
        <v>5.5389999999999997</v>
      </c>
      <c r="V98" s="49">
        <v>14.304133448972699</v>
      </c>
      <c r="W98" s="5">
        <v>8.8979999999999997</v>
      </c>
      <c r="Y98" s="30" t="s">
        <v>93</v>
      </c>
      <c r="AA98" s="30" t="s">
        <v>96</v>
      </c>
      <c r="AE98" s="53">
        <v>0.39100000000000001</v>
      </c>
    </row>
    <row r="99" spans="1:31" s="14" customFormat="1">
      <c r="A99" s="70" t="s">
        <v>442</v>
      </c>
      <c r="B99" s="10" t="s">
        <v>527</v>
      </c>
      <c r="C99" s="11" t="s">
        <v>405</v>
      </c>
      <c r="D99" s="11" t="s">
        <v>404</v>
      </c>
      <c r="E99" s="11" t="s">
        <v>170</v>
      </c>
      <c r="F99" s="11" t="s">
        <v>301</v>
      </c>
      <c r="G99" s="11" t="s">
        <v>167</v>
      </c>
      <c r="H99" s="60" t="s">
        <v>82</v>
      </c>
      <c r="I99" s="23" t="s">
        <v>172</v>
      </c>
      <c r="J99" s="14">
        <v>0.379</v>
      </c>
      <c r="K99" s="50">
        <v>-6.9569999999999999</v>
      </c>
      <c r="L99" s="50">
        <v>-2.0155334705947299</v>
      </c>
      <c r="Q99" s="50">
        <v>5.5389999999999997</v>
      </c>
      <c r="V99" s="50">
        <v>14.304133448972699</v>
      </c>
      <c r="W99" s="14">
        <v>8.8979999999999997</v>
      </c>
      <c r="Y99" s="31" t="s">
        <v>93</v>
      </c>
      <c r="AA99" s="31" t="s">
        <v>96</v>
      </c>
      <c r="AE99" s="54">
        <v>0.39100000000000001</v>
      </c>
    </row>
    <row r="100" spans="1:31">
      <c r="A100" s="71" t="s">
        <v>106</v>
      </c>
      <c r="B100" s="10" t="s">
        <v>527</v>
      </c>
      <c r="C100" s="6" t="s">
        <v>482</v>
      </c>
      <c r="D100" s="6" t="s">
        <v>328</v>
      </c>
      <c r="E100" s="6" t="s">
        <v>169</v>
      </c>
      <c r="F100" s="6" t="s">
        <v>301</v>
      </c>
      <c r="G100" s="6" t="s">
        <v>167</v>
      </c>
      <c r="H100" s="71" t="s">
        <v>106</v>
      </c>
      <c r="I100" s="12" t="s">
        <v>172</v>
      </c>
      <c r="J100" s="5">
        <v>0.1</v>
      </c>
    </row>
    <row r="101" spans="1:31">
      <c r="A101" s="71" t="s">
        <v>107</v>
      </c>
      <c r="B101" s="10" t="s">
        <v>527</v>
      </c>
      <c r="C101" s="6" t="s">
        <v>482</v>
      </c>
      <c r="D101" s="6" t="s">
        <v>328</v>
      </c>
      <c r="E101" s="6" t="s">
        <v>169</v>
      </c>
      <c r="F101" s="6" t="s">
        <v>301</v>
      </c>
      <c r="G101" s="6" t="s">
        <v>167</v>
      </c>
      <c r="H101" s="71" t="s">
        <v>107</v>
      </c>
      <c r="I101" s="12" t="s">
        <v>172</v>
      </c>
      <c r="J101" s="5">
        <v>0.1</v>
      </c>
    </row>
    <row r="102" spans="1:31">
      <c r="A102" s="71" t="s">
        <v>108</v>
      </c>
      <c r="B102" s="10" t="s">
        <v>527</v>
      </c>
      <c r="C102" s="6" t="s">
        <v>482</v>
      </c>
      <c r="D102" s="6" t="s">
        <v>328</v>
      </c>
      <c r="E102" s="6" t="s">
        <v>169</v>
      </c>
      <c r="F102" s="6" t="s">
        <v>301</v>
      </c>
      <c r="G102" s="6" t="s">
        <v>167</v>
      </c>
      <c r="H102" s="71" t="s">
        <v>108</v>
      </c>
      <c r="I102" s="12" t="s">
        <v>172</v>
      </c>
      <c r="J102" s="5">
        <v>0.1</v>
      </c>
    </row>
    <row r="103" spans="1:31">
      <c r="A103" s="71" t="s">
        <v>109</v>
      </c>
      <c r="B103" s="10" t="s">
        <v>527</v>
      </c>
      <c r="C103" s="6" t="s">
        <v>482</v>
      </c>
      <c r="D103" s="6" t="s">
        <v>328</v>
      </c>
      <c r="E103" s="6" t="s">
        <v>169</v>
      </c>
      <c r="F103" s="6" t="s">
        <v>301</v>
      </c>
      <c r="G103" s="6" t="s">
        <v>167</v>
      </c>
      <c r="H103" s="71" t="s">
        <v>109</v>
      </c>
      <c r="I103" s="12" t="s">
        <v>172</v>
      </c>
      <c r="J103" s="5">
        <v>0.1</v>
      </c>
    </row>
    <row r="104" spans="1:31">
      <c r="A104" s="71" t="s">
        <v>110</v>
      </c>
      <c r="B104" s="10" t="s">
        <v>527</v>
      </c>
      <c r="C104" s="6" t="s">
        <v>482</v>
      </c>
      <c r="D104" s="6" t="s">
        <v>328</v>
      </c>
      <c r="E104" s="6" t="s">
        <v>169</v>
      </c>
      <c r="F104" s="6" t="s">
        <v>301</v>
      </c>
      <c r="G104" s="6" t="s">
        <v>167</v>
      </c>
      <c r="H104" s="71" t="s">
        <v>110</v>
      </c>
      <c r="I104" s="12" t="s">
        <v>172</v>
      </c>
      <c r="J104" s="5">
        <v>0.1</v>
      </c>
    </row>
    <row r="105" spans="1:31">
      <c r="A105" s="71" t="s">
        <v>111</v>
      </c>
      <c r="B105" s="10" t="s">
        <v>527</v>
      </c>
      <c r="C105" s="6" t="s">
        <v>482</v>
      </c>
      <c r="D105" s="6" t="s">
        <v>328</v>
      </c>
      <c r="E105" s="6" t="s">
        <v>169</v>
      </c>
      <c r="F105" s="6" t="s">
        <v>301</v>
      </c>
      <c r="G105" s="6" t="s">
        <v>167</v>
      </c>
      <c r="H105" s="71" t="s">
        <v>111</v>
      </c>
      <c r="I105" s="12" t="s">
        <v>172</v>
      </c>
      <c r="J105" s="5">
        <v>0.1</v>
      </c>
    </row>
    <row r="106" spans="1:31">
      <c r="A106" s="71" t="s">
        <v>112</v>
      </c>
      <c r="B106" s="10" t="s">
        <v>527</v>
      </c>
      <c r="C106" s="6" t="s">
        <v>482</v>
      </c>
      <c r="D106" s="6" t="s">
        <v>328</v>
      </c>
      <c r="E106" s="6" t="s">
        <v>169</v>
      </c>
      <c r="F106" s="6" t="s">
        <v>301</v>
      </c>
      <c r="G106" s="6" t="s">
        <v>167</v>
      </c>
      <c r="H106" s="71" t="s">
        <v>112</v>
      </c>
      <c r="I106" s="12" t="s">
        <v>172</v>
      </c>
      <c r="J106" s="5">
        <v>0.1</v>
      </c>
    </row>
    <row r="107" spans="1:31">
      <c r="A107" s="71" t="s">
        <v>113</v>
      </c>
      <c r="B107" s="10" t="s">
        <v>527</v>
      </c>
      <c r="C107" s="6" t="s">
        <v>482</v>
      </c>
      <c r="D107" s="6" t="s">
        <v>328</v>
      </c>
      <c r="E107" s="6" t="s">
        <v>169</v>
      </c>
      <c r="F107" s="6" t="s">
        <v>301</v>
      </c>
      <c r="G107" s="6" t="s">
        <v>167</v>
      </c>
      <c r="H107" s="71" t="s">
        <v>113</v>
      </c>
      <c r="I107" s="12" t="s">
        <v>172</v>
      </c>
      <c r="J107" s="5">
        <v>0.1</v>
      </c>
    </row>
    <row r="108" spans="1:31">
      <c r="A108" s="71" t="s">
        <v>114</v>
      </c>
      <c r="B108" s="10" t="s">
        <v>527</v>
      </c>
      <c r="C108" s="6" t="s">
        <v>482</v>
      </c>
      <c r="D108" s="6" t="s">
        <v>328</v>
      </c>
      <c r="E108" s="6" t="s">
        <v>169</v>
      </c>
      <c r="F108" s="6" t="s">
        <v>301</v>
      </c>
      <c r="G108" s="6" t="s">
        <v>167</v>
      </c>
      <c r="H108" s="71" t="s">
        <v>114</v>
      </c>
      <c r="I108" s="12" t="s">
        <v>172</v>
      </c>
      <c r="J108" s="5">
        <v>0.1</v>
      </c>
    </row>
    <row r="109" spans="1:31" ht="14" customHeight="1">
      <c r="A109" s="71" t="s">
        <v>115</v>
      </c>
      <c r="B109" s="10" t="s">
        <v>527</v>
      </c>
      <c r="C109" s="6" t="s">
        <v>482</v>
      </c>
      <c r="D109" s="6" t="s">
        <v>328</v>
      </c>
      <c r="E109" s="6" t="s">
        <v>169</v>
      </c>
      <c r="F109" s="6" t="s">
        <v>301</v>
      </c>
      <c r="G109" s="6" t="s">
        <v>167</v>
      </c>
      <c r="H109" s="71" t="s">
        <v>115</v>
      </c>
      <c r="I109" s="12" t="s">
        <v>172</v>
      </c>
      <c r="J109" s="5">
        <v>0.1</v>
      </c>
    </row>
    <row r="110" spans="1:31" s="13" customFormat="1">
      <c r="A110" s="10" t="s">
        <v>116</v>
      </c>
      <c r="B110" s="87" t="s">
        <v>519</v>
      </c>
      <c r="C110" s="5" t="s">
        <v>329</v>
      </c>
      <c r="D110" s="84" t="s">
        <v>330</v>
      </c>
      <c r="E110" s="10" t="s">
        <v>170</v>
      </c>
      <c r="F110" s="10" t="s">
        <v>301</v>
      </c>
      <c r="G110" s="13" t="s">
        <v>128</v>
      </c>
      <c r="H110" s="10" t="s">
        <v>498</v>
      </c>
      <c r="I110" s="13" t="s">
        <v>209</v>
      </c>
      <c r="J110" s="13" t="s">
        <v>303</v>
      </c>
      <c r="Y110" s="29" t="s">
        <v>93</v>
      </c>
    </row>
    <row r="111" spans="1:31">
      <c r="A111" s="6" t="s">
        <v>117</v>
      </c>
      <c r="B111" s="87" t="s">
        <v>519</v>
      </c>
      <c r="C111" s="5" t="s">
        <v>329</v>
      </c>
      <c r="D111" s="27" t="s">
        <v>330</v>
      </c>
      <c r="E111" s="6" t="s">
        <v>170</v>
      </c>
      <c r="F111" s="6" t="s">
        <v>301</v>
      </c>
      <c r="G111" s="5" t="s">
        <v>128</v>
      </c>
      <c r="H111" s="6" t="s">
        <v>499</v>
      </c>
      <c r="I111" s="5" t="s">
        <v>209</v>
      </c>
      <c r="J111" s="5" t="s">
        <v>303</v>
      </c>
      <c r="Y111" s="30" t="s">
        <v>93</v>
      </c>
    </row>
    <row r="112" spans="1:31">
      <c r="A112" s="6" t="s">
        <v>118</v>
      </c>
      <c r="B112" s="87" t="s">
        <v>519</v>
      </c>
      <c r="C112" s="5" t="s">
        <v>329</v>
      </c>
      <c r="D112" s="27" t="s">
        <v>330</v>
      </c>
      <c r="E112" s="6" t="s">
        <v>170</v>
      </c>
      <c r="F112" s="6" t="s">
        <v>301</v>
      </c>
      <c r="G112" s="5" t="s">
        <v>128</v>
      </c>
      <c r="H112" s="6" t="s">
        <v>500</v>
      </c>
      <c r="I112" s="5" t="s">
        <v>209</v>
      </c>
      <c r="J112" s="5" t="s">
        <v>303</v>
      </c>
      <c r="Y112" s="30" t="s">
        <v>93</v>
      </c>
    </row>
    <row r="113" spans="1:25">
      <c r="A113" s="6" t="s">
        <v>119</v>
      </c>
      <c r="B113" s="87" t="s">
        <v>519</v>
      </c>
      <c r="C113" s="5" t="s">
        <v>329</v>
      </c>
      <c r="D113" s="27" t="s">
        <v>330</v>
      </c>
      <c r="E113" s="6" t="s">
        <v>170</v>
      </c>
      <c r="F113" s="6" t="s">
        <v>301</v>
      </c>
      <c r="G113" s="5" t="s">
        <v>128</v>
      </c>
      <c r="H113" s="6" t="s">
        <v>501</v>
      </c>
      <c r="I113" s="5" t="s">
        <v>209</v>
      </c>
      <c r="J113" s="5" t="s">
        <v>303</v>
      </c>
      <c r="Y113" s="30" t="s">
        <v>93</v>
      </c>
    </row>
    <row r="114" spans="1:25">
      <c r="A114" s="6" t="s">
        <v>120</v>
      </c>
      <c r="B114" s="87" t="s">
        <v>519</v>
      </c>
      <c r="C114" s="5" t="s">
        <v>329</v>
      </c>
      <c r="D114" s="27" t="s">
        <v>330</v>
      </c>
      <c r="E114" s="6" t="s">
        <v>170</v>
      </c>
      <c r="F114" s="6" t="s">
        <v>301</v>
      </c>
      <c r="G114" s="5" t="s">
        <v>128</v>
      </c>
      <c r="H114" s="6" t="s">
        <v>502</v>
      </c>
      <c r="I114" s="5" t="s">
        <v>209</v>
      </c>
      <c r="J114" s="5" t="s">
        <v>303</v>
      </c>
      <c r="Y114" s="30" t="s">
        <v>93</v>
      </c>
    </row>
    <row r="115" spans="1:25">
      <c r="A115" s="6" t="s">
        <v>121</v>
      </c>
      <c r="B115" s="87" t="s">
        <v>519</v>
      </c>
      <c r="C115" s="5" t="s">
        <v>329</v>
      </c>
      <c r="D115" s="27" t="s">
        <v>330</v>
      </c>
      <c r="E115" s="6" t="s">
        <v>170</v>
      </c>
      <c r="F115" s="6" t="s">
        <v>301</v>
      </c>
      <c r="G115" s="5" t="s">
        <v>128</v>
      </c>
      <c r="H115" s="6" t="s">
        <v>503</v>
      </c>
      <c r="I115" s="5" t="s">
        <v>209</v>
      </c>
      <c r="J115" s="5" t="s">
        <v>303</v>
      </c>
      <c r="Y115" s="30" t="s">
        <v>93</v>
      </c>
    </row>
    <row r="116" spans="1:25">
      <c r="A116" s="6" t="s">
        <v>122</v>
      </c>
      <c r="B116" s="87" t="s">
        <v>519</v>
      </c>
      <c r="C116" s="5" t="s">
        <v>329</v>
      </c>
      <c r="D116" s="27" t="s">
        <v>330</v>
      </c>
      <c r="E116" s="6" t="s">
        <v>170</v>
      </c>
      <c r="F116" s="6" t="s">
        <v>301</v>
      </c>
      <c r="G116" s="5" t="s">
        <v>128</v>
      </c>
      <c r="H116" s="6" t="s">
        <v>504</v>
      </c>
      <c r="I116" s="5" t="s">
        <v>209</v>
      </c>
      <c r="J116" s="5" t="s">
        <v>303</v>
      </c>
      <c r="Y116" s="30" t="s">
        <v>93</v>
      </c>
    </row>
    <row r="117" spans="1:25">
      <c r="A117" s="6" t="s">
        <v>123</v>
      </c>
      <c r="B117" s="87" t="s">
        <v>519</v>
      </c>
      <c r="C117" s="5" t="s">
        <v>329</v>
      </c>
      <c r="D117" s="27" t="s">
        <v>330</v>
      </c>
      <c r="E117" s="6" t="s">
        <v>170</v>
      </c>
      <c r="F117" s="6" t="s">
        <v>301</v>
      </c>
      <c r="G117" s="5" t="s">
        <v>128</v>
      </c>
      <c r="H117" s="6" t="s">
        <v>505</v>
      </c>
      <c r="I117" s="5" t="s">
        <v>209</v>
      </c>
      <c r="J117" s="5" t="s">
        <v>303</v>
      </c>
      <c r="Y117" s="30" t="s">
        <v>93</v>
      </c>
    </row>
    <row r="118" spans="1:25">
      <c r="A118" s="6" t="s">
        <v>124</v>
      </c>
      <c r="B118" s="87" t="s">
        <v>519</v>
      </c>
      <c r="C118" s="5" t="s">
        <v>329</v>
      </c>
      <c r="D118" s="27" t="s">
        <v>330</v>
      </c>
      <c r="E118" s="6" t="s">
        <v>170</v>
      </c>
      <c r="F118" s="6" t="s">
        <v>301</v>
      </c>
      <c r="G118" s="5" t="s">
        <v>128</v>
      </c>
      <c r="H118" s="6" t="s">
        <v>506</v>
      </c>
      <c r="I118" s="5" t="s">
        <v>209</v>
      </c>
      <c r="J118" s="5" t="s">
        <v>303</v>
      </c>
      <c r="Y118" s="30" t="s">
        <v>93</v>
      </c>
    </row>
    <row r="119" spans="1:25">
      <c r="A119" s="6" t="s">
        <v>125</v>
      </c>
      <c r="B119" s="87" t="s">
        <v>519</v>
      </c>
      <c r="C119" s="5" t="s">
        <v>329</v>
      </c>
      <c r="D119" s="27" t="s">
        <v>331</v>
      </c>
      <c r="E119" s="6" t="s">
        <v>170</v>
      </c>
      <c r="F119" s="6" t="s">
        <v>301</v>
      </c>
      <c r="G119" s="5" t="s">
        <v>128</v>
      </c>
      <c r="H119" s="6" t="s">
        <v>507</v>
      </c>
      <c r="I119" s="5" t="s">
        <v>209</v>
      </c>
      <c r="J119" s="5" t="s">
        <v>303</v>
      </c>
      <c r="Y119" s="30" t="s">
        <v>93</v>
      </c>
    </row>
    <row r="120" spans="1:25" s="14" customFormat="1">
      <c r="A120" s="11" t="s">
        <v>126</v>
      </c>
      <c r="B120" s="87" t="s">
        <v>519</v>
      </c>
      <c r="C120" s="14" t="s">
        <v>329</v>
      </c>
      <c r="D120" s="38" t="s">
        <v>331</v>
      </c>
      <c r="E120" s="11" t="s">
        <v>170</v>
      </c>
      <c r="F120" s="11" t="s">
        <v>301</v>
      </c>
      <c r="G120" s="14" t="s">
        <v>128</v>
      </c>
      <c r="H120" s="11" t="s">
        <v>508</v>
      </c>
      <c r="I120" s="14" t="s">
        <v>209</v>
      </c>
      <c r="J120" s="14" t="s">
        <v>303</v>
      </c>
      <c r="Y120" s="31" t="s">
        <v>93</v>
      </c>
    </row>
    <row r="121" spans="1:25" s="13" customFormat="1">
      <c r="A121" s="72" t="s">
        <v>129</v>
      </c>
      <c r="B121" s="10" t="s">
        <v>527</v>
      </c>
      <c r="C121" s="10" t="s">
        <v>489</v>
      </c>
      <c r="D121" s="10" t="s">
        <v>322</v>
      </c>
      <c r="E121" s="10" t="s">
        <v>169</v>
      </c>
      <c r="F121" s="10" t="s">
        <v>339</v>
      </c>
      <c r="H121" s="13" t="s">
        <v>344</v>
      </c>
      <c r="I121" s="13" t="s">
        <v>340</v>
      </c>
      <c r="J121" s="13" t="s">
        <v>303</v>
      </c>
    </row>
    <row r="122" spans="1:25">
      <c r="A122" s="73" t="s">
        <v>130</v>
      </c>
      <c r="B122" s="10" t="s">
        <v>527</v>
      </c>
      <c r="C122" s="10" t="s">
        <v>489</v>
      </c>
      <c r="D122" s="6" t="s">
        <v>322</v>
      </c>
      <c r="E122" s="6" t="s">
        <v>169</v>
      </c>
      <c r="F122" s="6" t="s">
        <v>339</v>
      </c>
      <c r="H122" s="5" t="s">
        <v>344</v>
      </c>
      <c r="I122" s="5" t="s">
        <v>340</v>
      </c>
      <c r="J122" s="5" t="s">
        <v>303</v>
      </c>
    </row>
    <row r="123" spans="1:25">
      <c r="A123" s="73" t="s">
        <v>131</v>
      </c>
      <c r="B123" s="10" t="s">
        <v>527</v>
      </c>
      <c r="C123" s="10" t="s">
        <v>489</v>
      </c>
      <c r="D123" s="6" t="s">
        <v>322</v>
      </c>
      <c r="E123" s="6" t="s">
        <v>169</v>
      </c>
      <c r="F123" s="6" t="s">
        <v>339</v>
      </c>
      <c r="H123" s="5" t="s">
        <v>344</v>
      </c>
      <c r="I123" s="5" t="s">
        <v>340</v>
      </c>
      <c r="J123" s="5" t="s">
        <v>303</v>
      </c>
    </row>
    <row r="124" spans="1:25">
      <c r="A124" s="73" t="s">
        <v>132</v>
      </c>
      <c r="B124" s="10" t="s">
        <v>527</v>
      </c>
      <c r="C124" s="10" t="s">
        <v>489</v>
      </c>
      <c r="D124" s="6" t="s">
        <v>322</v>
      </c>
      <c r="E124" s="6" t="s">
        <v>169</v>
      </c>
      <c r="F124" s="6" t="s">
        <v>339</v>
      </c>
      <c r="H124" s="5" t="s">
        <v>345</v>
      </c>
      <c r="I124" s="5" t="s">
        <v>340</v>
      </c>
      <c r="J124" s="5" t="s">
        <v>303</v>
      </c>
    </row>
    <row r="125" spans="1:25">
      <c r="A125" s="73" t="s">
        <v>133</v>
      </c>
      <c r="B125" s="10" t="s">
        <v>527</v>
      </c>
      <c r="C125" s="10" t="s">
        <v>489</v>
      </c>
      <c r="D125" s="6" t="s">
        <v>322</v>
      </c>
      <c r="E125" s="6" t="s">
        <v>169</v>
      </c>
      <c r="F125" s="6" t="s">
        <v>339</v>
      </c>
      <c r="H125" s="5" t="s">
        <v>345</v>
      </c>
      <c r="I125" s="5" t="s">
        <v>340</v>
      </c>
      <c r="J125" s="5" t="s">
        <v>303</v>
      </c>
    </row>
    <row r="126" spans="1:25">
      <c r="A126" s="73" t="s">
        <v>134</v>
      </c>
      <c r="B126" s="10" t="s">
        <v>527</v>
      </c>
      <c r="C126" s="10" t="s">
        <v>489</v>
      </c>
      <c r="D126" s="6" t="s">
        <v>322</v>
      </c>
      <c r="E126" s="6" t="s">
        <v>169</v>
      </c>
      <c r="F126" s="6" t="s">
        <v>339</v>
      </c>
      <c r="H126" s="5" t="s">
        <v>345</v>
      </c>
      <c r="I126" s="5" t="s">
        <v>340</v>
      </c>
      <c r="J126" s="5" t="s">
        <v>303</v>
      </c>
    </row>
    <row r="127" spans="1:25">
      <c r="A127" s="73" t="s">
        <v>135</v>
      </c>
      <c r="B127" s="10" t="s">
        <v>527</v>
      </c>
      <c r="C127" s="10" t="s">
        <v>489</v>
      </c>
      <c r="D127" s="6" t="s">
        <v>322</v>
      </c>
      <c r="E127" s="6" t="s">
        <v>169</v>
      </c>
      <c r="F127" s="6" t="s">
        <v>339</v>
      </c>
      <c r="H127" s="5" t="s">
        <v>346</v>
      </c>
      <c r="I127" s="5" t="s">
        <v>340</v>
      </c>
      <c r="J127" s="5" t="s">
        <v>303</v>
      </c>
    </row>
    <row r="128" spans="1:25">
      <c r="A128" s="73" t="s">
        <v>136</v>
      </c>
      <c r="B128" s="10" t="s">
        <v>527</v>
      </c>
      <c r="C128" s="10" t="s">
        <v>489</v>
      </c>
      <c r="D128" s="6" t="s">
        <v>322</v>
      </c>
      <c r="E128" s="6" t="s">
        <v>169</v>
      </c>
      <c r="F128" s="6" t="s">
        <v>339</v>
      </c>
      <c r="H128" s="5" t="s">
        <v>346</v>
      </c>
      <c r="I128" s="5" t="s">
        <v>340</v>
      </c>
      <c r="J128" s="5" t="s">
        <v>303</v>
      </c>
    </row>
    <row r="129" spans="1:10">
      <c r="A129" s="73" t="s">
        <v>137</v>
      </c>
      <c r="B129" s="10" t="s">
        <v>527</v>
      </c>
      <c r="C129" s="10" t="s">
        <v>489</v>
      </c>
      <c r="D129" s="6" t="s">
        <v>322</v>
      </c>
      <c r="E129" s="6" t="s">
        <v>169</v>
      </c>
      <c r="F129" s="6" t="s">
        <v>339</v>
      </c>
      <c r="H129" s="5" t="s">
        <v>346</v>
      </c>
      <c r="I129" s="5" t="s">
        <v>340</v>
      </c>
      <c r="J129" s="5" t="s">
        <v>303</v>
      </c>
    </row>
    <row r="130" spans="1:10">
      <c r="A130" s="73" t="s">
        <v>138</v>
      </c>
      <c r="B130" s="10" t="s">
        <v>527</v>
      </c>
      <c r="C130" s="10" t="s">
        <v>489</v>
      </c>
      <c r="D130" s="6" t="s">
        <v>322</v>
      </c>
      <c r="E130" s="6" t="s">
        <v>169</v>
      </c>
      <c r="F130" s="6" t="s">
        <v>339</v>
      </c>
      <c r="H130" s="5" t="s">
        <v>347</v>
      </c>
      <c r="I130" s="5" t="s">
        <v>340</v>
      </c>
      <c r="J130" s="5" t="s">
        <v>303</v>
      </c>
    </row>
    <row r="131" spans="1:10">
      <c r="A131" s="73" t="s">
        <v>139</v>
      </c>
      <c r="B131" s="10" t="s">
        <v>527</v>
      </c>
      <c r="C131" s="10" t="s">
        <v>489</v>
      </c>
      <c r="D131" s="6" t="s">
        <v>322</v>
      </c>
      <c r="E131" s="6" t="s">
        <v>169</v>
      </c>
      <c r="F131" s="6" t="s">
        <v>339</v>
      </c>
      <c r="H131" s="5" t="s">
        <v>347</v>
      </c>
      <c r="I131" s="5" t="s">
        <v>340</v>
      </c>
      <c r="J131" s="5" t="s">
        <v>303</v>
      </c>
    </row>
    <row r="132" spans="1:10">
      <c r="A132" s="73" t="s">
        <v>140</v>
      </c>
      <c r="B132" s="10" t="s">
        <v>527</v>
      </c>
      <c r="C132" s="10" t="s">
        <v>489</v>
      </c>
      <c r="D132" s="6" t="s">
        <v>322</v>
      </c>
      <c r="E132" s="6" t="s">
        <v>169</v>
      </c>
      <c r="F132" s="6" t="s">
        <v>339</v>
      </c>
      <c r="H132" s="5" t="s">
        <v>347</v>
      </c>
      <c r="I132" s="5" t="s">
        <v>340</v>
      </c>
      <c r="J132" s="5" t="s">
        <v>303</v>
      </c>
    </row>
    <row r="133" spans="1:10">
      <c r="A133" s="73" t="s">
        <v>141</v>
      </c>
      <c r="B133" s="10" t="s">
        <v>527</v>
      </c>
      <c r="C133" s="10" t="s">
        <v>489</v>
      </c>
      <c r="D133" s="6" t="s">
        <v>322</v>
      </c>
      <c r="E133" s="6" t="s">
        <v>169</v>
      </c>
      <c r="F133" s="6" t="s">
        <v>339</v>
      </c>
      <c r="H133" s="5" t="s">
        <v>348</v>
      </c>
      <c r="I133" s="5" t="s">
        <v>340</v>
      </c>
      <c r="J133" s="5" t="s">
        <v>303</v>
      </c>
    </row>
    <row r="134" spans="1:10">
      <c r="A134" s="73" t="s">
        <v>142</v>
      </c>
      <c r="B134" s="10" t="s">
        <v>527</v>
      </c>
      <c r="C134" s="10" t="s">
        <v>489</v>
      </c>
      <c r="D134" s="6" t="s">
        <v>322</v>
      </c>
      <c r="E134" s="6" t="s">
        <v>169</v>
      </c>
      <c r="F134" s="6" t="s">
        <v>339</v>
      </c>
      <c r="H134" s="5" t="s">
        <v>348</v>
      </c>
      <c r="I134" s="5" t="s">
        <v>340</v>
      </c>
      <c r="J134" s="5" t="s">
        <v>303</v>
      </c>
    </row>
    <row r="135" spans="1:10">
      <c r="A135" s="73" t="s">
        <v>143</v>
      </c>
      <c r="B135" s="10" t="s">
        <v>527</v>
      </c>
      <c r="C135" s="10" t="s">
        <v>489</v>
      </c>
      <c r="D135" s="6" t="s">
        <v>322</v>
      </c>
      <c r="E135" s="6" t="s">
        <v>169</v>
      </c>
      <c r="F135" s="6" t="s">
        <v>339</v>
      </c>
      <c r="H135" s="5" t="s">
        <v>348</v>
      </c>
      <c r="I135" s="5" t="s">
        <v>340</v>
      </c>
      <c r="J135" s="5" t="s">
        <v>303</v>
      </c>
    </row>
    <row r="136" spans="1:10">
      <c r="A136" s="73" t="s">
        <v>144</v>
      </c>
      <c r="B136" s="10" t="s">
        <v>527</v>
      </c>
      <c r="C136" s="10" t="s">
        <v>489</v>
      </c>
      <c r="D136" s="6" t="s">
        <v>322</v>
      </c>
      <c r="E136" s="6" t="s">
        <v>169</v>
      </c>
      <c r="F136" s="6" t="s">
        <v>339</v>
      </c>
      <c r="H136" s="5" t="s">
        <v>349</v>
      </c>
      <c r="I136" s="5" t="s">
        <v>340</v>
      </c>
      <c r="J136" s="5" t="s">
        <v>303</v>
      </c>
    </row>
    <row r="137" spans="1:10">
      <c r="A137" s="73" t="s">
        <v>145</v>
      </c>
      <c r="B137" s="10" t="s">
        <v>527</v>
      </c>
      <c r="C137" s="10" t="s">
        <v>489</v>
      </c>
      <c r="D137" s="6" t="s">
        <v>322</v>
      </c>
      <c r="E137" s="6" t="s">
        <v>169</v>
      </c>
      <c r="F137" s="6" t="s">
        <v>339</v>
      </c>
      <c r="H137" s="5" t="s">
        <v>349</v>
      </c>
      <c r="I137" s="5" t="s">
        <v>340</v>
      </c>
      <c r="J137" s="5" t="s">
        <v>303</v>
      </c>
    </row>
    <row r="138" spans="1:10">
      <c r="A138" s="73" t="s">
        <v>146</v>
      </c>
      <c r="B138" s="10" t="s">
        <v>527</v>
      </c>
      <c r="C138" s="10" t="s">
        <v>489</v>
      </c>
      <c r="D138" s="6" t="s">
        <v>322</v>
      </c>
      <c r="E138" s="6" t="s">
        <v>169</v>
      </c>
      <c r="F138" s="6" t="s">
        <v>339</v>
      </c>
      <c r="H138" s="5" t="s">
        <v>349</v>
      </c>
      <c r="I138" s="5" t="s">
        <v>340</v>
      </c>
      <c r="J138" s="5" t="s">
        <v>303</v>
      </c>
    </row>
    <row r="139" spans="1:10">
      <c r="A139" s="73" t="s">
        <v>147</v>
      </c>
      <c r="B139" s="10" t="s">
        <v>527</v>
      </c>
      <c r="C139" s="10" t="s">
        <v>489</v>
      </c>
      <c r="D139" s="6" t="s">
        <v>322</v>
      </c>
      <c r="E139" s="6" t="s">
        <v>169</v>
      </c>
      <c r="F139" s="6" t="s">
        <v>339</v>
      </c>
      <c r="H139" s="5" t="s">
        <v>350</v>
      </c>
      <c r="I139" s="5" t="s">
        <v>340</v>
      </c>
      <c r="J139" s="5" t="s">
        <v>303</v>
      </c>
    </row>
    <row r="140" spans="1:10">
      <c r="A140" s="73" t="s">
        <v>148</v>
      </c>
      <c r="B140" s="10" t="s">
        <v>527</v>
      </c>
      <c r="C140" s="10" t="s">
        <v>489</v>
      </c>
      <c r="D140" s="6" t="s">
        <v>322</v>
      </c>
      <c r="E140" s="6" t="s">
        <v>169</v>
      </c>
      <c r="F140" s="6" t="s">
        <v>339</v>
      </c>
      <c r="H140" s="5" t="s">
        <v>350</v>
      </c>
      <c r="I140" s="5" t="s">
        <v>340</v>
      </c>
      <c r="J140" s="5" t="s">
        <v>303</v>
      </c>
    </row>
    <row r="141" spans="1:10">
      <c r="A141" s="73" t="s">
        <v>149</v>
      </c>
      <c r="B141" s="10" t="s">
        <v>527</v>
      </c>
      <c r="C141" s="10" t="s">
        <v>489</v>
      </c>
      <c r="D141" s="6" t="s">
        <v>322</v>
      </c>
      <c r="E141" s="6" t="s">
        <v>169</v>
      </c>
      <c r="F141" s="6" t="s">
        <v>339</v>
      </c>
      <c r="H141" s="5" t="s">
        <v>350</v>
      </c>
      <c r="I141" s="5" t="s">
        <v>340</v>
      </c>
      <c r="J141" s="5" t="s">
        <v>303</v>
      </c>
    </row>
    <row r="142" spans="1:10">
      <c r="A142" s="73" t="s">
        <v>150</v>
      </c>
      <c r="B142" s="10" t="s">
        <v>527</v>
      </c>
      <c r="C142" s="10" t="s">
        <v>489</v>
      </c>
      <c r="D142" s="6" t="s">
        <v>322</v>
      </c>
      <c r="E142" s="6" t="s">
        <v>169</v>
      </c>
      <c r="F142" s="6" t="s">
        <v>339</v>
      </c>
      <c r="H142" s="5" t="s">
        <v>351</v>
      </c>
      <c r="I142" s="5" t="s">
        <v>340</v>
      </c>
      <c r="J142" s="5" t="s">
        <v>303</v>
      </c>
    </row>
    <row r="143" spans="1:10">
      <c r="A143" s="73" t="s">
        <v>151</v>
      </c>
      <c r="B143" s="10" t="s">
        <v>527</v>
      </c>
      <c r="C143" s="10" t="s">
        <v>489</v>
      </c>
      <c r="D143" s="6" t="s">
        <v>322</v>
      </c>
      <c r="E143" s="6" t="s">
        <v>169</v>
      </c>
      <c r="F143" s="6" t="s">
        <v>339</v>
      </c>
      <c r="H143" s="5" t="s">
        <v>352</v>
      </c>
      <c r="I143" s="5" t="s">
        <v>340</v>
      </c>
      <c r="J143" s="5" t="s">
        <v>303</v>
      </c>
    </row>
    <row r="144" spans="1:10">
      <c r="A144" s="73" t="s">
        <v>152</v>
      </c>
      <c r="B144" s="10" t="s">
        <v>527</v>
      </c>
      <c r="C144" s="10" t="s">
        <v>489</v>
      </c>
      <c r="D144" s="6" t="s">
        <v>322</v>
      </c>
      <c r="E144" s="6" t="s">
        <v>169</v>
      </c>
      <c r="F144" s="6" t="s">
        <v>339</v>
      </c>
      <c r="H144" s="5" t="s">
        <v>353</v>
      </c>
      <c r="I144" s="5" t="s">
        <v>340</v>
      </c>
      <c r="J144" s="5" t="s">
        <v>303</v>
      </c>
    </row>
    <row r="145" spans="1:26">
      <c r="A145" s="73" t="s">
        <v>153</v>
      </c>
      <c r="B145" s="10" t="s">
        <v>527</v>
      </c>
      <c r="C145" s="10" t="s">
        <v>489</v>
      </c>
      <c r="D145" s="6" t="s">
        <v>322</v>
      </c>
      <c r="E145" s="6" t="s">
        <v>169</v>
      </c>
      <c r="F145" s="6" t="s">
        <v>339</v>
      </c>
      <c r="H145" s="5" t="s">
        <v>354</v>
      </c>
      <c r="I145" s="5" t="s">
        <v>340</v>
      </c>
      <c r="J145" s="5" t="s">
        <v>303</v>
      </c>
    </row>
    <row r="146" spans="1:26">
      <c r="A146" s="73" t="s">
        <v>154</v>
      </c>
      <c r="B146" s="10" t="s">
        <v>527</v>
      </c>
      <c r="C146" s="10" t="s">
        <v>489</v>
      </c>
      <c r="D146" s="6" t="s">
        <v>322</v>
      </c>
      <c r="E146" s="6" t="s">
        <v>169</v>
      </c>
      <c r="F146" s="6" t="s">
        <v>339</v>
      </c>
      <c r="H146" s="5" t="s">
        <v>354</v>
      </c>
      <c r="I146" s="5" t="s">
        <v>340</v>
      </c>
      <c r="J146" s="5" t="s">
        <v>303</v>
      </c>
    </row>
    <row r="147" spans="1:26">
      <c r="A147" s="73" t="s">
        <v>155</v>
      </c>
      <c r="B147" s="10" t="s">
        <v>527</v>
      </c>
      <c r="C147" s="10" t="s">
        <v>489</v>
      </c>
      <c r="D147" s="6" t="s">
        <v>322</v>
      </c>
      <c r="E147" s="6" t="s">
        <v>169</v>
      </c>
      <c r="F147" s="6" t="s">
        <v>339</v>
      </c>
      <c r="H147" s="5" t="s">
        <v>354</v>
      </c>
      <c r="I147" s="5" t="s">
        <v>340</v>
      </c>
      <c r="J147" s="5" t="s">
        <v>303</v>
      </c>
    </row>
    <row r="148" spans="1:26">
      <c r="A148" s="73" t="s">
        <v>156</v>
      </c>
      <c r="B148" s="10" t="s">
        <v>527</v>
      </c>
      <c r="C148" s="10" t="s">
        <v>489</v>
      </c>
      <c r="D148" s="6" t="s">
        <v>322</v>
      </c>
      <c r="E148" s="6" t="s">
        <v>169</v>
      </c>
      <c r="F148" s="6" t="s">
        <v>339</v>
      </c>
      <c r="H148" s="5" t="s">
        <v>355</v>
      </c>
      <c r="I148" s="5" t="s">
        <v>340</v>
      </c>
      <c r="J148" s="5" t="s">
        <v>303</v>
      </c>
    </row>
    <row r="149" spans="1:26">
      <c r="A149" s="73" t="s">
        <v>157</v>
      </c>
      <c r="B149" s="10" t="s">
        <v>527</v>
      </c>
      <c r="C149" s="10" t="s">
        <v>489</v>
      </c>
      <c r="D149" s="6" t="s">
        <v>322</v>
      </c>
      <c r="E149" s="6" t="s">
        <v>169</v>
      </c>
      <c r="F149" s="6" t="s">
        <v>339</v>
      </c>
      <c r="H149" s="5" t="s">
        <v>355</v>
      </c>
      <c r="I149" s="5" t="s">
        <v>340</v>
      </c>
      <c r="J149" s="5" t="s">
        <v>303</v>
      </c>
    </row>
    <row r="150" spans="1:26" s="14" customFormat="1">
      <c r="A150" s="74" t="s">
        <v>158</v>
      </c>
      <c r="B150" s="10" t="s">
        <v>527</v>
      </c>
      <c r="C150" s="10" t="s">
        <v>489</v>
      </c>
      <c r="D150" s="11" t="s">
        <v>322</v>
      </c>
      <c r="E150" s="11" t="s">
        <v>169</v>
      </c>
      <c r="F150" s="11" t="s">
        <v>339</v>
      </c>
      <c r="H150" s="14" t="s">
        <v>355</v>
      </c>
      <c r="I150" s="14" t="s">
        <v>340</v>
      </c>
      <c r="J150" s="14" t="s">
        <v>303</v>
      </c>
    </row>
    <row r="151" spans="1:26" s="13" customFormat="1">
      <c r="A151" s="24" t="s">
        <v>159</v>
      </c>
      <c r="B151" s="10" t="s">
        <v>527</v>
      </c>
      <c r="C151" s="10" t="s">
        <v>488</v>
      </c>
      <c r="D151" s="10" t="s">
        <v>323</v>
      </c>
      <c r="E151" s="10" t="s">
        <v>169</v>
      </c>
      <c r="F151" s="10" t="s">
        <v>357</v>
      </c>
      <c r="G151" s="13" t="s">
        <v>167</v>
      </c>
      <c r="H151" s="58" t="s">
        <v>384</v>
      </c>
      <c r="J151" s="13">
        <v>0.2</v>
      </c>
      <c r="X151" s="13">
        <v>7.5</v>
      </c>
      <c r="Y151" s="30" t="s">
        <v>93</v>
      </c>
      <c r="Z151" s="13">
        <v>5</v>
      </c>
    </row>
    <row r="152" spans="1:26">
      <c r="A152" s="9" t="s">
        <v>160</v>
      </c>
      <c r="B152" s="10" t="s">
        <v>527</v>
      </c>
      <c r="C152" s="10" t="s">
        <v>488</v>
      </c>
      <c r="D152" s="6" t="s">
        <v>323</v>
      </c>
      <c r="E152" s="6" t="s">
        <v>169</v>
      </c>
      <c r="F152" s="6" t="s">
        <v>357</v>
      </c>
      <c r="G152" s="5" t="s">
        <v>167</v>
      </c>
      <c r="H152" s="59" t="s">
        <v>384</v>
      </c>
      <c r="J152" s="5">
        <v>0.2</v>
      </c>
      <c r="X152" s="13">
        <v>7.5</v>
      </c>
      <c r="Y152" s="30" t="s">
        <v>93</v>
      </c>
      <c r="Z152" s="5">
        <v>5</v>
      </c>
    </row>
    <row r="153" spans="1:26">
      <c r="A153" s="9" t="s">
        <v>161</v>
      </c>
      <c r="B153" s="10" t="s">
        <v>527</v>
      </c>
      <c r="C153" s="10" t="s">
        <v>488</v>
      </c>
      <c r="D153" s="6" t="s">
        <v>323</v>
      </c>
      <c r="E153" s="6" t="s">
        <v>169</v>
      </c>
      <c r="F153" s="6" t="s">
        <v>357</v>
      </c>
      <c r="G153" s="5" t="s">
        <v>167</v>
      </c>
      <c r="H153" s="59" t="s">
        <v>383</v>
      </c>
      <c r="J153" s="5">
        <v>0.2</v>
      </c>
      <c r="X153" s="13">
        <v>7.5</v>
      </c>
      <c r="Y153" s="30" t="s">
        <v>93</v>
      </c>
      <c r="Z153" s="5">
        <v>0.125</v>
      </c>
    </row>
    <row r="154" spans="1:26">
      <c r="A154" s="9" t="s">
        <v>162</v>
      </c>
      <c r="B154" s="10" t="s">
        <v>527</v>
      </c>
      <c r="C154" s="10" t="s">
        <v>488</v>
      </c>
      <c r="D154" s="6" t="s">
        <v>323</v>
      </c>
      <c r="E154" s="6" t="s">
        <v>169</v>
      </c>
      <c r="F154" s="6" t="s">
        <v>357</v>
      </c>
      <c r="G154" s="5" t="s">
        <v>167</v>
      </c>
      <c r="H154" s="59" t="s">
        <v>383</v>
      </c>
      <c r="J154" s="5">
        <v>0.2</v>
      </c>
      <c r="X154" s="13">
        <v>7.5</v>
      </c>
      <c r="Y154" s="30" t="s">
        <v>93</v>
      </c>
      <c r="Z154" s="5">
        <v>0.125</v>
      </c>
    </row>
    <row r="155" spans="1:26">
      <c r="A155" s="9" t="s">
        <v>163</v>
      </c>
      <c r="B155" s="10" t="s">
        <v>527</v>
      </c>
      <c r="C155" s="10" t="s">
        <v>488</v>
      </c>
      <c r="D155" s="6" t="s">
        <v>323</v>
      </c>
      <c r="E155" s="6" t="s">
        <v>169</v>
      </c>
      <c r="F155" s="6" t="s">
        <v>357</v>
      </c>
      <c r="G155" s="5" t="s">
        <v>167</v>
      </c>
      <c r="H155" s="59" t="s">
        <v>381</v>
      </c>
      <c r="J155" s="5">
        <v>0.2</v>
      </c>
      <c r="X155" s="13">
        <v>7.5</v>
      </c>
      <c r="Y155" s="30" t="s">
        <v>93</v>
      </c>
      <c r="Z155" s="5">
        <v>0.5</v>
      </c>
    </row>
    <row r="156" spans="1:26">
      <c r="A156" s="9" t="s">
        <v>164</v>
      </c>
      <c r="B156" s="10" t="s">
        <v>527</v>
      </c>
      <c r="C156" s="10" t="s">
        <v>488</v>
      </c>
      <c r="D156" s="6" t="s">
        <v>323</v>
      </c>
      <c r="E156" s="6" t="s">
        <v>169</v>
      </c>
      <c r="F156" s="6" t="s">
        <v>357</v>
      </c>
      <c r="G156" s="5" t="s">
        <v>167</v>
      </c>
      <c r="H156" s="59" t="s">
        <v>381</v>
      </c>
      <c r="J156" s="5">
        <v>0.2</v>
      </c>
      <c r="X156" s="13">
        <v>7.5</v>
      </c>
      <c r="Y156" s="30" t="s">
        <v>93</v>
      </c>
      <c r="Z156" s="5">
        <v>0.5</v>
      </c>
    </row>
    <row r="157" spans="1:26">
      <c r="A157" s="9" t="s">
        <v>165</v>
      </c>
      <c r="B157" s="10" t="s">
        <v>527</v>
      </c>
      <c r="C157" s="10" t="s">
        <v>488</v>
      </c>
      <c r="D157" s="6" t="s">
        <v>323</v>
      </c>
      <c r="E157" s="6" t="s">
        <v>169</v>
      </c>
      <c r="F157" s="6" t="s">
        <v>357</v>
      </c>
      <c r="G157" s="5" t="s">
        <v>167</v>
      </c>
      <c r="H157" s="59" t="s">
        <v>382</v>
      </c>
      <c r="J157" s="5">
        <v>0.2</v>
      </c>
      <c r="X157" s="13">
        <v>7.5</v>
      </c>
      <c r="Y157" s="30" t="s">
        <v>93</v>
      </c>
      <c r="Z157" s="5">
        <v>0.28999999999999998</v>
      </c>
    </row>
    <row r="158" spans="1:26">
      <c r="A158" s="9" t="s">
        <v>166</v>
      </c>
      <c r="B158" s="10" t="s">
        <v>527</v>
      </c>
      <c r="C158" s="10" t="s">
        <v>488</v>
      </c>
      <c r="D158" s="6" t="s">
        <v>323</v>
      </c>
      <c r="E158" s="6" t="s">
        <v>169</v>
      </c>
      <c r="F158" s="6" t="s">
        <v>357</v>
      </c>
      <c r="G158" s="5" t="s">
        <v>167</v>
      </c>
      <c r="H158" s="59" t="s">
        <v>382</v>
      </c>
      <c r="J158" s="5">
        <v>0.2</v>
      </c>
      <c r="X158" s="13">
        <v>7.5</v>
      </c>
      <c r="Y158" s="30" t="s">
        <v>93</v>
      </c>
      <c r="Z158" s="5">
        <v>0.28999999999999998</v>
      </c>
    </row>
    <row r="159" spans="1:26" s="13" customFormat="1">
      <c r="A159" s="10" t="s">
        <v>176</v>
      </c>
      <c r="B159" s="13" t="s">
        <v>520</v>
      </c>
      <c r="C159" s="13" t="s">
        <v>208</v>
      </c>
      <c r="D159" s="84" t="s">
        <v>307</v>
      </c>
      <c r="E159" s="36" t="s">
        <v>169</v>
      </c>
      <c r="F159" s="10" t="s">
        <v>301</v>
      </c>
      <c r="G159" s="13" t="s">
        <v>128</v>
      </c>
      <c r="H159" s="82" t="s">
        <v>490</v>
      </c>
      <c r="J159" s="13">
        <v>5.1999999999999998E-2</v>
      </c>
      <c r="Y159" s="29"/>
    </row>
    <row r="160" spans="1:26" ht="14" customHeight="1">
      <c r="A160" s="6" t="s">
        <v>177</v>
      </c>
      <c r="B160" s="13" t="s">
        <v>520</v>
      </c>
      <c r="C160" s="5" t="s">
        <v>208</v>
      </c>
      <c r="D160" s="27" t="s">
        <v>307</v>
      </c>
      <c r="E160" s="34" t="s">
        <v>169</v>
      </c>
      <c r="F160" s="6" t="s">
        <v>301</v>
      </c>
      <c r="G160" s="5" t="s">
        <v>128</v>
      </c>
      <c r="H160" s="83" t="s">
        <v>490</v>
      </c>
      <c r="J160" s="5">
        <v>5.0999999999999997E-2</v>
      </c>
    </row>
    <row r="161" spans="1:10">
      <c r="A161" s="6" t="s">
        <v>178</v>
      </c>
      <c r="B161" s="13" t="s">
        <v>520</v>
      </c>
      <c r="C161" s="5" t="s">
        <v>208</v>
      </c>
      <c r="D161" s="27" t="s">
        <v>307</v>
      </c>
      <c r="E161" s="34" t="s">
        <v>169</v>
      </c>
      <c r="F161" s="6" t="s">
        <v>301</v>
      </c>
      <c r="G161" s="5" t="s">
        <v>128</v>
      </c>
      <c r="H161" s="83" t="s">
        <v>490</v>
      </c>
      <c r="J161" s="5">
        <v>4.8000000000000001E-2</v>
      </c>
    </row>
    <row r="162" spans="1:10">
      <c r="A162" s="6" t="s">
        <v>179</v>
      </c>
      <c r="B162" s="13" t="s">
        <v>520</v>
      </c>
      <c r="C162" s="5" t="s">
        <v>208</v>
      </c>
      <c r="D162" s="27" t="s">
        <v>307</v>
      </c>
      <c r="E162" s="34" t="s">
        <v>169</v>
      </c>
      <c r="F162" s="6" t="s">
        <v>301</v>
      </c>
      <c r="G162" s="5" t="s">
        <v>128</v>
      </c>
      <c r="H162" s="83" t="s">
        <v>490</v>
      </c>
      <c r="J162" s="5">
        <v>4.7E-2</v>
      </c>
    </row>
    <row r="163" spans="1:10">
      <c r="A163" s="6" t="s">
        <v>180</v>
      </c>
      <c r="B163" s="13" t="s">
        <v>520</v>
      </c>
      <c r="C163" s="5" t="s">
        <v>208</v>
      </c>
      <c r="D163" s="27" t="s">
        <v>307</v>
      </c>
      <c r="E163" s="34" t="s">
        <v>169</v>
      </c>
      <c r="F163" s="6" t="s">
        <v>301</v>
      </c>
      <c r="G163" s="5" t="s">
        <v>128</v>
      </c>
      <c r="H163" s="6" t="s">
        <v>493</v>
      </c>
      <c r="J163" s="5">
        <v>0.16500000000000001</v>
      </c>
    </row>
    <row r="164" spans="1:10">
      <c r="A164" s="6" t="s">
        <v>181</v>
      </c>
      <c r="B164" s="13" t="s">
        <v>520</v>
      </c>
      <c r="C164" s="5" t="s">
        <v>208</v>
      </c>
      <c r="D164" s="27" t="s">
        <v>307</v>
      </c>
      <c r="E164" s="34" t="s">
        <v>169</v>
      </c>
      <c r="F164" s="6" t="s">
        <v>301</v>
      </c>
      <c r="G164" s="5" t="s">
        <v>128</v>
      </c>
      <c r="H164" s="6" t="s">
        <v>493</v>
      </c>
      <c r="J164" s="5">
        <v>0.182</v>
      </c>
    </row>
    <row r="165" spans="1:10">
      <c r="A165" s="6" t="s">
        <v>182</v>
      </c>
      <c r="B165" s="13" t="s">
        <v>520</v>
      </c>
      <c r="C165" s="5" t="s">
        <v>208</v>
      </c>
      <c r="D165" s="27" t="s">
        <v>307</v>
      </c>
      <c r="E165" s="34" t="s">
        <v>169</v>
      </c>
      <c r="F165" s="6" t="s">
        <v>301</v>
      </c>
      <c r="G165" s="5" t="s">
        <v>128</v>
      </c>
      <c r="H165" s="6" t="s">
        <v>492</v>
      </c>
      <c r="J165" s="5">
        <v>0.27500000000000002</v>
      </c>
    </row>
    <row r="166" spans="1:10">
      <c r="A166" s="6" t="s">
        <v>183</v>
      </c>
      <c r="B166" s="13" t="s">
        <v>520</v>
      </c>
      <c r="C166" s="5" t="s">
        <v>208</v>
      </c>
      <c r="D166" s="27" t="s">
        <v>307</v>
      </c>
      <c r="E166" s="34" t="s">
        <v>169</v>
      </c>
      <c r="F166" s="6" t="s">
        <v>301</v>
      </c>
      <c r="G166" s="5" t="s">
        <v>128</v>
      </c>
      <c r="H166" s="6" t="s">
        <v>492</v>
      </c>
      <c r="J166" s="5">
        <v>0.29099999999999998</v>
      </c>
    </row>
    <row r="167" spans="1:10">
      <c r="A167" s="6" t="s">
        <v>184</v>
      </c>
      <c r="B167" s="13" t="s">
        <v>520</v>
      </c>
      <c r="C167" s="5" t="s">
        <v>208</v>
      </c>
      <c r="D167" s="27" t="s">
        <v>307</v>
      </c>
      <c r="E167" s="34" t="s">
        <v>169</v>
      </c>
      <c r="F167" s="6" t="s">
        <v>301</v>
      </c>
      <c r="G167" s="5" t="s">
        <v>128</v>
      </c>
      <c r="H167" s="6" t="s">
        <v>491</v>
      </c>
      <c r="J167" s="5">
        <v>0.373</v>
      </c>
    </row>
    <row r="168" spans="1:10">
      <c r="A168" s="6" t="s">
        <v>185</v>
      </c>
      <c r="B168" s="13" t="s">
        <v>520</v>
      </c>
      <c r="C168" s="5" t="s">
        <v>208</v>
      </c>
      <c r="D168" s="27" t="s">
        <v>307</v>
      </c>
      <c r="E168" s="34" t="s">
        <v>169</v>
      </c>
      <c r="F168" s="6" t="s">
        <v>301</v>
      </c>
      <c r="G168" s="5" t="s">
        <v>128</v>
      </c>
      <c r="H168" s="6" t="s">
        <v>491</v>
      </c>
      <c r="J168" s="5">
        <v>0.36899999999999999</v>
      </c>
    </row>
    <row r="169" spans="1:10">
      <c r="A169" s="6" t="s">
        <v>186</v>
      </c>
      <c r="B169" s="13" t="s">
        <v>520</v>
      </c>
      <c r="C169" s="5" t="s">
        <v>208</v>
      </c>
      <c r="D169" s="27" t="s">
        <v>307</v>
      </c>
      <c r="E169" s="34" t="s">
        <v>169</v>
      </c>
      <c r="F169" s="6" t="s">
        <v>301</v>
      </c>
      <c r="G169" s="5" t="s">
        <v>128</v>
      </c>
      <c r="H169" s="5" t="s">
        <v>494</v>
      </c>
      <c r="J169" s="5">
        <v>0.121</v>
      </c>
    </row>
    <row r="170" spans="1:10">
      <c r="A170" s="6" t="s">
        <v>187</v>
      </c>
      <c r="B170" s="13" t="s">
        <v>520</v>
      </c>
      <c r="C170" s="5" t="s">
        <v>208</v>
      </c>
      <c r="D170" s="27" t="s">
        <v>307</v>
      </c>
      <c r="E170" s="34" t="s">
        <v>169</v>
      </c>
      <c r="F170" s="6" t="s">
        <v>301</v>
      </c>
      <c r="G170" s="5" t="s">
        <v>128</v>
      </c>
      <c r="H170" s="5" t="s">
        <v>494</v>
      </c>
      <c r="J170" s="5">
        <v>0.106</v>
      </c>
    </row>
    <row r="171" spans="1:10">
      <c r="A171" s="6" t="s">
        <v>188</v>
      </c>
      <c r="B171" s="13" t="s">
        <v>520</v>
      </c>
      <c r="C171" s="5" t="s">
        <v>208</v>
      </c>
      <c r="D171" s="27" t="s">
        <v>307</v>
      </c>
      <c r="E171" s="34" t="s">
        <v>169</v>
      </c>
      <c r="F171" s="6" t="s">
        <v>301</v>
      </c>
      <c r="G171" s="5" t="s">
        <v>128</v>
      </c>
      <c r="H171" s="5" t="s">
        <v>497</v>
      </c>
      <c r="J171" s="5">
        <v>0.2</v>
      </c>
    </row>
    <row r="172" spans="1:10">
      <c r="A172" s="6" t="s">
        <v>189</v>
      </c>
      <c r="B172" s="13" t="s">
        <v>520</v>
      </c>
      <c r="C172" s="5" t="s">
        <v>208</v>
      </c>
      <c r="D172" s="27" t="s">
        <v>307</v>
      </c>
      <c r="E172" s="34" t="s">
        <v>169</v>
      </c>
      <c r="F172" s="6" t="s">
        <v>301</v>
      </c>
      <c r="G172" s="5" t="s">
        <v>128</v>
      </c>
      <c r="H172" s="5" t="s">
        <v>497</v>
      </c>
      <c r="J172" s="5">
        <v>0.20100000000000001</v>
      </c>
    </row>
    <row r="173" spans="1:10">
      <c r="A173" s="6" t="s">
        <v>190</v>
      </c>
      <c r="B173" s="13" t="s">
        <v>520</v>
      </c>
      <c r="C173" s="5" t="s">
        <v>208</v>
      </c>
      <c r="D173" s="27" t="s">
        <v>307</v>
      </c>
      <c r="E173" s="34" t="s">
        <v>169</v>
      </c>
      <c r="F173" s="6" t="s">
        <v>301</v>
      </c>
      <c r="G173" s="5" t="s">
        <v>128</v>
      </c>
      <c r="H173" s="5" t="s">
        <v>496</v>
      </c>
      <c r="J173" s="5">
        <v>0.32700000000000001</v>
      </c>
    </row>
    <row r="174" spans="1:10">
      <c r="A174" s="6" t="s">
        <v>191</v>
      </c>
      <c r="B174" s="13" t="s">
        <v>520</v>
      </c>
      <c r="C174" s="5" t="s">
        <v>208</v>
      </c>
      <c r="D174" s="27" t="s">
        <v>307</v>
      </c>
      <c r="E174" s="34" t="s">
        <v>169</v>
      </c>
      <c r="F174" s="6" t="s">
        <v>301</v>
      </c>
      <c r="G174" s="5" t="s">
        <v>128</v>
      </c>
      <c r="H174" s="5" t="s">
        <v>496</v>
      </c>
      <c r="J174" s="5">
        <v>0.318</v>
      </c>
    </row>
    <row r="175" spans="1:10">
      <c r="A175" s="6" t="s">
        <v>192</v>
      </c>
      <c r="B175" s="13" t="s">
        <v>520</v>
      </c>
      <c r="C175" s="5" t="s">
        <v>208</v>
      </c>
      <c r="D175" s="27" t="s">
        <v>307</v>
      </c>
      <c r="E175" s="34" t="s">
        <v>169</v>
      </c>
      <c r="F175" s="6" t="s">
        <v>301</v>
      </c>
      <c r="G175" s="5" t="s">
        <v>128</v>
      </c>
      <c r="H175" s="5" t="s">
        <v>495</v>
      </c>
      <c r="J175" s="5">
        <v>0.42099999999999999</v>
      </c>
    </row>
    <row r="176" spans="1:10">
      <c r="A176" s="6" t="s">
        <v>193</v>
      </c>
      <c r="B176" s="13" t="s">
        <v>520</v>
      </c>
      <c r="C176" s="5" t="s">
        <v>208</v>
      </c>
      <c r="D176" s="27" t="s">
        <v>307</v>
      </c>
      <c r="E176" s="34" t="s">
        <v>169</v>
      </c>
      <c r="F176" s="6" t="s">
        <v>301</v>
      </c>
      <c r="G176" s="5" t="s">
        <v>128</v>
      </c>
      <c r="H176" s="5" t="s">
        <v>495</v>
      </c>
      <c r="J176" s="5">
        <v>0.39900000000000002</v>
      </c>
    </row>
    <row r="177" spans="1:10">
      <c r="A177" s="6" t="s">
        <v>194</v>
      </c>
      <c r="B177" s="13" t="s">
        <v>520</v>
      </c>
      <c r="C177" s="5" t="s">
        <v>208</v>
      </c>
      <c r="D177" s="27" t="s">
        <v>307</v>
      </c>
      <c r="E177" s="34" t="s">
        <v>169</v>
      </c>
      <c r="F177" s="6" t="s">
        <v>301</v>
      </c>
      <c r="G177" s="5" t="s">
        <v>167</v>
      </c>
      <c r="H177" s="6" t="s">
        <v>513</v>
      </c>
      <c r="J177" s="5">
        <v>0.19600000000000001</v>
      </c>
    </row>
    <row r="178" spans="1:10">
      <c r="A178" s="6" t="s">
        <v>195</v>
      </c>
      <c r="B178" s="13" t="s">
        <v>520</v>
      </c>
      <c r="C178" s="5" t="s">
        <v>208</v>
      </c>
      <c r="D178" s="27" t="s">
        <v>307</v>
      </c>
      <c r="E178" s="34" t="s">
        <v>169</v>
      </c>
      <c r="F178" s="6" t="s">
        <v>301</v>
      </c>
      <c r="G178" s="5" t="s">
        <v>167</v>
      </c>
      <c r="H178" s="6" t="s">
        <v>513</v>
      </c>
      <c r="J178" s="5">
        <v>0.20200000000000001</v>
      </c>
    </row>
    <row r="179" spans="1:10">
      <c r="A179" s="6" t="s">
        <v>196</v>
      </c>
      <c r="B179" s="13" t="s">
        <v>520</v>
      </c>
      <c r="C179" s="5" t="s">
        <v>208</v>
      </c>
      <c r="D179" s="27" t="s">
        <v>307</v>
      </c>
      <c r="E179" s="34" t="s">
        <v>169</v>
      </c>
      <c r="F179" s="6" t="s">
        <v>301</v>
      </c>
      <c r="G179" s="5" t="s">
        <v>167</v>
      </c>
      <c r="H179" s="6" t="s">
        <v>514</v>
      </c>
      <c r="J179" s="5">
        <v>0.22900000000000001</v>
      </c>
    </row>
    <row r="180" spans="1:10">
      <c r="A180" s="6" t="s">
        <v>197</v>
      </c>
      <c r="B180" s="13" t="s">
        <v>520</v>
      </c>
      <c r="C180" s="5" t="s">
        <v>208</v>
      </c>
      <c r="D180" s="27" t="s">
        <v>307</v>
      </c>
      <c r="E180" s="34" t="s">
        <v>169</v>
      </c>
      <c r="F180" s="6" t="s">
        <v>301</v>
      </c>
      <c r="G180" s="5" t="s">
        <v>167</v>
      </c>
      <c r="H180" s="6" t="s">
        <v>514</v>
      </c>
      <c r="J180" s="5">
        <v>0.22500000000000001</v>
      </c>
    </row>
    <row r="181" spans="1:10">
      <c r="A181" s="6" t="s">
        <v>198</v>
      </c>
      <c r="B181" s="13" t="s">
        <v>520</v>
      </c>
      <c r="C181" s="5" t="s">
        <v>208</v>
      </c>
      <c r="D181" s="27" t="s">
        <v>307</v>
      </c>
      <c r="E181" s="34" t="s">
        <v>169</v>
      </c>
      <c r="F181" s="6" t="s">
        <v>301</v>
      </c>
      <c r="G181" s="5" t="s">
        <v>167</v>
      </c>
      <c r="H181" s="6" t="s">
        <v>512</v>
      </c>
      <c r="J181" s="5">
        <v>0.26800000000000002</v>
      </c>
    </row>
    <row r="182" spans="1:10">
      <c r="A182" s="6" t="s">
        <v>199</v>
      </c>
      <c r="B182" s="13" t="s">
        <v>520</v>
      </c>
      <c r="C182" s="5" t="s">
        <v>208</v>
      </c>
      <c r="D182" s="27" t="s">
        <v>307</v>
      </c>
      <c r="E182" s="34" t="s">
        <v>169</v>
      </c>
      <c r="F182" s="6" t="s">
        <v>301</v>
      </c>
      <c r="G182" s="5" t="s">
        <v>167</v>
      </c>
      <c r="H182" s="6" t="s">
        <v>512</v>
      </c>
      <c r="J182" s="5">
        <v>0.27300000000000002</v>
      </c>
    </row>
    <row r="183" spans="1:10">
      <c r="A183" s="6" t="s">
        <v>200</v>
      </c>
      <c r="B183" s="13" t="s">
        <v>520</v>
      </c>
      <c r="C183" s="5" t="s">
        <v>208</v>
      </c>
      <c r="D183" s="27" t="s">
        <v>307</v>
      </c>
      <c r="E183" s="34" t="s">
        <v>169</v>
      </c>
      <c r="F183" s="6" t="s">
        <v>301</v>
      </c>
      <c r="G183" s="5" t="s">
        <v>167</v>
      </c>
      <c r="H183" s="6" t="s">
        <v>511</v>
      </c>
      <c r="J183" s="5">
        <v>0.30299999999999999</v>
      </c>
    </row>
    <row r="184" spans="1:10">
      <c r="A184" s="6" t="s">
        <v>201</v>
      </c>
      <c r="B184" s="13" t="s">
        <v>520</v>
      </c>
      <c r="C184" s="5" t="s">
        <v>208</v>
      </c>
      <c r="D184" s="27" t="s">
        <v>307</v>
      </c>
      <c r="E184" s="34" t="s">
        <v>169</v>
      </c>
      <c r="F184" s="6" t="s">
        <v>301</v>
      </c>
      <c r="G184" s="5" t="s">
        <v>167</v>
      </c>
      <c r="H184" s="6" t="s">
        <v>511</v>
      </c>
      <c r="J184" s="5">
        <v>0.30199999999999999</v>
      </c>
    </row>
    <row r="185" spans="1:10">
      <c r="A185" s="6" t="s">
        <v>202</v>
      </c>
      <c r="B185" s="13" t="s">
        <v>520</v>
      </c>
      <c r="C185" s="5" t="s">
        <v>208</v>
      </c>
      <c r="D185" s="27" t="s">
        <v>307</v>
      </c>
      <c r="E185" s="34" t="s">
        <v>169</v>
      </c>
      <c r="F185" s="6" t="s">
        <v>301</v>
      </c>
      <c r="G185" s="5" t="s">
        <v>167</v>
      </c>
      <c r="H185" s="6" t="s">
        <v>511</v>
      </c>
      <c r="J185" s="5">
        <v>0.3</v>
      </c>
    </row>
    <row r="186" spans="1:10">
      <c r="A186" s="6" t="s">
        <v>203</v>
      </c>
      <c r="B186" s="13" t="s">
        <v>520</v>
      </c>
      <c r="C186" s="5" t="s">
        <v>208</v>
      </c>
      <c r="D186" s="27" t="s">
        <v>307</v>
      </c>
      <c r="E186" s="34" t="s">
        <v>169</v>
      </c>
      <c r="F186" s="6" t="s">
        <v>301</v>
      </c>
      <c r="G186" s="5" t="s">
        <v>167</v>
      </c>
      <c r="H186" s="6" t="s">
        <v>511</v>
      </c>
      <c r="J186" s="5">
        <v>0.30099999999999999</v>
      </c>
    </row>
    <row r="187" spans="1:10">
      <c r="A187" s="6" t="s">
        <v>204</v>
      </c>
      <c r="B187" s="13" t="s">
        <v>520</v>
      </c>
      <c r="C187" s="5" t="s">
        <v>208</v>
      </c>
      <c r="D187" s="27" t="s">
        <v>307</v>
      </c>
      <c r="E187" s="34" t="s">
        <v>169</v>
      </c>
      <c r="F187" s="6" t="s">
        <v>301</v>
      </c>
      <c r="G187" s="5" t="s">
        <v>167</v>
      </c>
      <c r="H187" s="6" t="s">
        <v>510</v>
      </c>
      <c r="J187" s="5">
        <v>0.316</v>
      </c>
    </row>
    <row r="188" spans="1:10">
      <c r="A188" s="6" t="s">
        <v>205</v>
      </c>
      <c r="B188" s="13" t="s">
        <v>520</v>
      </c>
      <c r="C188" s="5" t="s">
        <v>208</v>
      </c>
      <c r="D188" s="27" t="s">
        <v>307</v>
      </c>
      <c r="E188" s="34" t="s">
        <v>169</v>
      </c>
      <c r="F188" s="6" t="s">
        <v>301</v>
      </c>
      <c r="G188" s="5" t="s">
        <v>167</v>
      </c>
      <c r="H188" s="6" t="s">
        <v>510</v>
      </c>
      <c r="J188" s="5">
        <v>0.32</v>
      </c>
    </row>
    <row r="189" spans="1:10">
      <c r="A189" s="6" t="s">
        <v>206</v>
      </c>
      <c r="B189" s="13" t="s">
        <v>520</v>
      </c>
      <c r="C189" s="5" t="s">
        <v>208</v>
      </c>
      <c r="D189" s="27" t="s">
        <v>307</v>
      </c>
      <c r="E189" s="34" t="s">
        <v>169</v>
      </c>
      <c r="F189" s="6" t="s">
        <v>301</v>
      </c>
      <c r="G189" s="5" t="s">
        <v>167</v>
      </c>
      <c r="H189" s="6" t="s">
        <v>509</v>
      </c>
      <c r="J189" s="5">
        <v>0.33700000000000002</v>
      </c>
    </row>
    <row r="190" spans="1:10" s="14" customFormat="1">
      <c r="A190" s="11" t="s">
        <v>207</v>
      </c>
      <c r="B190" s="13" t="s">
        <v>520</v>
      </c>
      <c r="C190" s="14" t="s">
        <v>208</v>
      </c>
      <c r="D190" s="38" t="s">
        <v>307</v>
      </c>
      <c r="E190" s="39" t="s">
        <v>169</v>
      </c>
      <c r="F190" s="11" t="s">
        <v>301</v>
      </c>
      <c r="G190" s="14" t="s">
        <v>167</v>
      </c>
      <c r="H190" s="11" t="s">
        <v>509</v>
      </c>
      <c r="J190" s="14">
        <v>0.34</v>
      </c>
    </row>
    <row r="191" spans="1:10" s="13" customFormat="1">
      <c r="A191" s="75" t="s">
        <v>210</v>
      </c>
      <c r="B191" s="88" t="s">
        <v>521</v>
      </c>
      <c r="C191" s="13" t="s">
        <v>273</v>
      </c>
      <c r="D191" s="84" t="s">
        <v>306</v>
      </c>
      <c r="E191" s="36" t="s">
        <v>169</v>
      </c>
      <c r="F191" s="10" t="s">
        <v>301</v>
      </c>
      <c r="G191" s="13" t="s">
        <v>128</v>
      </c>
      <c r="H191" s="75" t="s">
        <v>210</v>
      </c>
      <c r="J191" s="37">
        <v>0.255</v>
      </c>
    </row>
    <row r="192" spans="1:10">
      <c r="A192" s="20" t="s">
        <v>211</v>
      </c>
      <c r="B192" s="88" t="s">
        <v>521</v>
      </c>
      <c r="C192" s="5" t="s">
        <v>273</v>
      </c>
      <c r="D192" s="27" t="s">
        <v>306</v>
      </c>
      <c r="E192" s="34" t="s">
        <v>169</v>
      </c>
      <c r="F192" s="6" t="s">
        <v>301</v>
      </c>
      <c r="G192" s="5" t="s">
        <v>167</v>
      </c>
      <c r="H192" s="20" t="s">
        <v>211</v>
      </c>
      <c r="J192" s="17">
        <v>0.08</v>
      </c>
    </row>
    <row r="193" spans="1:10">
      <c r="A193" s="20" t="s">
        <v>212</v>
      </c>
      <c r="B193" s="88" t="s">
        <v>521</v>
      </c>
      <c r="C193" s="5" t="s">
        <v>273</v>
      </c>
      <c r="D193" s="27" t="s">
        <v>306</v>
      </c>
      <c r="E193" s="34" t="s">
        <v>169</v>
      </c>
      <c r="F193" s="6" t="s">
        <v>301</v>
      </c>
      <c r="G193" s="5" t="s">
        <v>167</v>
      </c>
      <c r="H193" s="20" t="s">
        <v>212</v>
      </c>
      <c r="J193" s="17">
        <v>0.16</v>
      </c>
    </row>
    <row r="194" spans="1:10">
      <c r="A194" s="20" t="s">
        <v>213</v>
      </c>
      <c r="B194" s="88" t="s">
        <v>521</v>
      </c>
      <c r="C194" s="5" t="s">
        <v>273</v>
      </c>
      <c r="D194" s="27" t="s">
        <v>306</v>
      </c>
      <c r="E194" s="34" t="s">
        <v>169</v>
      </c>
      <c r="F194" s="6" t="s">
        <v>301</v>
      </c>
      <c r="G194" s="5" t="s">
        <v>167</v>
      </c>
      <c r="H194" s="20" t="s">
        <v>213</v>
      </c>
      <c r="J194" s="17">
        <v>0.22</v>
      </c>
    </row>
    <row r="195" spans="1:10">
      <c r="A195" s="20" t="s">
        <v>214</v>
      </c>
      <c r="B195" s="88" t="s">
        <v>521</v>
      </c>
      <c r="C195" s="5" t="s">
        <v>273</v>
      </c>
      <c r="D195" s="27" t="s">
        <v>306</v>
      </c>
      <c r="E195" s="34" t="s">
        <v>169</v>
      </c>
      <c r="F195" s="6" t="s">
        <v>301</v>
      </c>
      <c r="G195" s="5" t="s">
        <v>167</v>
      </c>
      <c r="H195" s="20" t="s">
        <v>214</v>
      </c>
      <c r="J195" s="17">
        <v>0.28000000000000003</v>
      </c>
    </row>
    <row r="196" spans="1:10">
      <c r="A196" s="20" t="s">
        <v>215</v>
      </c>
      <c r="B196" s="88" t="s">
        <v>521</v>
      </c>
      <c r="C196" s="5" t="s">
        <v>273</v>
      </c>
      <c r="D196" s="27" t="s">
        <v>306</v>
      </c>
      <c r="E196" s="34" t="s">
        <v>169</v>
      </c>
      <c r="F196" s="6" t="s">
        <v>301</v>
      </c>
      <c r="G196" s="5" t="s">
        <v>167</v>
      </c>
      <c r="H196" s="20" t="s">
        <v>215</v>
      </c>
      <c r="J196" s="17">
        <v>0.08</v>
      </c>
    </row>
    <row r="197" spans="1:10">
      <c r="A197" s="20" t="s">
        <v>216</v>
      </c>
      <c r="B197" s="88" t="s">
        <v>521</v>
      </c>
      <c r="C197" s="5" t="s">
        <v>273</v>
      </c>
      <c r="D197" s="27" t="s">
        <v>306</v>
      </c>
      <c r="E197" s="34" t="s">
        <v>169</v>
      </c>
      <c r="F197" s="6" t="s">
        <v>301</v>
      </c>
      <c r="G197" s="5" t="s">
        <v>167</v>
      </c>
      <c r="H197" s="20" t="s">
        <v>216</v>
      </c>
      <c r="J197" s="17">
        <v>0.16</v>
      </c>
    </row>
    <row r="198" spans="1:10">
      <c r="A198" s="20" t="s">
        <v>217</v>
      </c>
      <c r="B198" s="88" t="s">
        <v>521</v>
      </c>
      <c r="C198" s="5" t="s">
        <v>273</v>
      </c>
      <c r="D198" s="27" t="s">
        <v>306</v>
      </c>
      <c r="E198" s="34" t="s">
        <v>169</v>
      </c>
      <c r="F198" s="6" t="s">
        <v>301</v>
      </c>
      <c r="G198" s="5" t="s">
        <v>167</v>
      </c>
      <c r="H198" s="20" t="s">
        <v>217</v>
      </c>
      <c r="J198" s="17">
        <v>0.22</v>
      </c>
    </row>
    <row r="199" spans="1:10">
      <c r="A199" s="20" t="s">
        <v>218</v>
      </c>
      <c r="B199" s="88" t="s">
        <v>521</v>
      </c>
      <c r="C199" s="5" t="s">
        <v>273</v>
      </c>
      <c r="D199" s="27" t="s">
        <v>306</v>
      </c>
      <c r="E199" s="34" t="s">
        <v>169</v>
      </c>
      <c r="F199" s="6" t="s">
        <v>301</v>
      </c>
      <c r="G199" s="5" t="s">
        <v>167</v>
      </c>
      <c r="H199" s="20" t="s">
        <v>218</v>
      </c>
      <c r="J199" s="17">
        <v>0.28000000000000003</v>
      </c>
    </row>
    <row r="200" spans="1:10">
      <c r="A200" s="20" t="s">
        <v>219</v>
      </c>
      <c r="B200" s="88" t="s">
        <v>521</v>
      </c>
      <c r="C200" s="5" t="s">
        <v>273</v>
      </c>
      <c r="D200" s="27" t="s">
        <v>306</v>
      </c>
      <c r="E200" s="34" t="s">
        <v>169</v>
      </c>
      <c r="F200" s="6" t="s">
        <v>301</v>
      </c>
      <c r="G200" s="5" t="s">
        <v>167</v>
      </c>
      <c r="H200" s="20" t="s">
        <v>219</v>
      </c>
      <c r="J200" s="17">
        <v>0.08</v>
      </c>
    </row>
    <row r="201" spans="1:10">
      <c r="A201" s="20" t="s">
        <v>220</v>
      </c>
      <c r="B201" s="88" t="s">
        <v>521</v>
      </c>
      <c r="C201" s="5" t="s">
        <v>273</v>
      </c>
      <c r="D201" s="27" t="s">
        <v>306</v>
      </c>
      <c r="E201" s="34" t="s">
        <v>169</v>
      </c>
      <c r="F201" s="6" t="s">
        <v>301</v>
      </c>
      <c r="G201" s="5" t="s">
        <v>167</v>
      </c>
      <c r="H201" s="20" t="s">
        <v>220</v>
      </c>
      <c r="J201" s="17">
        <v>0.16</v>
      </c>
    </row>
    <row r="202" spans="1:10">
      <c r="A202" s="20" t="s">
        <v>221</v>
      </c>
      <c r="B202" s="88" t="s">
        <v>521</v>
      </c>
      <c r="C202" s="5" t="s">
        <v>273</v>
      </c>
      <c r="D202" s="27" t="s">
        <v>306</v>
      </c>
      <c r="E202" s="34" t="s">
        <v>169</v>
      </c>
      <c r="F202" s="6" t="s">
        <v>301</v>
      </c>
      <c r="G202" s="5" t="s">
        <v>167</v>
      </c>
      <c r="H202" s="20" t="s">
        <v>221</v>
      </c>
      <c r="J202" s="17">
        <v>0.22</v>
      </c>
    </row>
    <row r="203" spans="1:10">
      <c r="A203" s="20" t="s">
        <v>222</v>
      </c>
      <c r="B203" s="88" t="s">
        <v>521</v>
      </c>
      <c r="C203" s="5" t="s">
        <v>273</v>
      </c>
      <c r="D203" s="27" t="s">
        <v>306</v>
      </c>
      <c r="E203" s="34" t="s">
        <v>169</v>
      </c>
      <c r="F203" s="6" t="s">
        <v>301</v>
      </c>
      <c r="G203" s="5" t="s">
        <v>167</v>
      </c>
      <c r="H203" s="20" t="s">
        <v>222</v>
      </c>
      <c r="J203" s="17">
        <v>0.28000000000000003</v>
      </c>
    </row>
    <row r="204" spans="1:10">
      <c r="A204" s="20" t="s">
        <v>223</v>
      </c>
      <c r="B204" s="88" t="s">
        <v>521</v>
      </c>
      <c r="C204" s="5" t="s">
        <v>273</v>
      </c>
      <c r="D204" s="27" t="s">
        <v>306</v>
      </c>
      <c r="E204" s="34" t="s">
        <v>169</v>
      </c>
      <c r="F204" s="6" t="s">
        <v>301</v>
      </c>
      <c r="G204" s="5" t="s">
        <v>128</v>
      </c>
      <c r="H204" s="59" t="s">
        <v>223</v>
      </c>
      <c r="J204" s="17">
        <v>0.39100000000000001</v>
      </c>
    </row>
    <row r="205" spans="1:10">
      <c r="A205" s="20" t="s">
        <v>224</v>
      </c>
      <c r="B205" s="88" t="s">
        <v>521</v>
      </c>
      <c r="C205" s="5" t="s">
        <v>273</v>
      </c>
      <c r="D205" s="27" t="s">
        <v>306</v>
      </c>
      <c r="E205" s="34" t="s">
        <v>169</v>
      </c>
      <c r="F205" s="6" t="s">
        <v>301</v>
      </c>
      <c r="G205" s="5" t="s">
        <v>128</v>
      </c>
      <c r="H205" s="59" t="s">
        <v>380</v>
      </c>
    </row>
    <row r="206" spans="1:10">
      <c r="A206" s="20" t="s">
        <v>225</v>
      </c>
      <c r="B206" s="88" t="s">
        <v>521</v>
      </c>
      <c r="C206" s="5" t="s">
        <v>273</v>
      </c>
      <c r="D206" s="27" t="s">
        <v>306</v>
      </c>
      <c r="E206" s="34" t="s">
        <v>169</v>
      </c>
      <c r="F206" s="6" t="s">
        <v>301</v>
      </c>
      <c r="G206" s="5" t="s">
        <v>128</v>
      </c>
      <c r="H206" s="59" t="s">
        <v>380</v>
      </c>
    </row>
    <row r="207" spans="1:10">
      <c r="A207" s="20" t="s">
        <v>226</v>
      </c>
      <c r="B207" s="88" t="s">
        <v>521</v>
      </c>
      <c r="C207" s="5" t="s">
        <v>273</v>
      </c>
      <c r="D207" s="27" t="s">
        <v>306</v>
      </c>
      <c r="E207" s="34" t="s">
        <v>169</v>
      </c>
      <c r="F207" s="6" t="s">
        <v>301</v>
      </c>
      <c r="G207" s="5" t="s">
        <v>128</v>
      </c>
      <c r="H207" s="59" t="s">
        <v>380</v>
      </c>
    </row>
    <row r="208" spans="1:10">
      <c r="A208" s="20" t="s">
        <v>227</v>
      </c>
      <c r="B208" s="88" t="s">
        <v>521</v>
      </c>
      <c r="C208" s="5" t="s">
        <v>273</v>
      </c>
      <c r="D208" s="27" t="s">
        <v>306</v>
      </c>
      <c r="E208" s="34" t="s">
        <v>169</v>
      </c>
      <c r="F208" s="6" t="s">
        <v>301</v>
      </c>
      <c r="G208" s="5" t="s">
        <v>128</v>
      </c>
      <c r="H208" s="59" t="s">
        <v>379</v>
      </c>
    </row>
    <row r="209" spans="1:8">
      <c r="A209" s="20" t="s">
        <v>228</v>
      </c>
      <c r="B209" s="88" t="s">
        <v>521</v>
      </c>
      <c r="C209" s="5" t="s">
        <v>273</v>
      </c>
      <c r="D209" s="27" t="s">
        <v>306</v>
      </c>
      <c r="E209" s="34" t="s">
        <v>169</v>
      </c>
      <c r="F209" s="6" t="s">
        <v>301</v>
      </c>
      <c r="G209" s="5" t="s">
        <v>128</v>
      </c>
      <c r="H209" s="59" t="s">
        <v>379</v>
      </c>
    </row>
    <row r="210" spans="1:8">
      <c r="A210" s="20" t="s">
        <v>229</v>
      </c>
      <c r="B210" s="88" t="s">
        <v>521</v>
      </c>
      <c r="C210" s="5" t="s">
        <v>273</v>
      </c>
      <c r="D210" s="27" t="s">
        <v>306</v>
      </c>
      <c r="E210" s="34" t="s">
        <v>169</v>
      </c>
      <c r="F210" s="6" t="s">
        <v>301</v>
      </c>
      <c r="G210" s="5" t="s">
        <v>128</v>
      </c>
      <c r="H210" s="59" t="s">
        <v>379</v>
      </c>
    </row>
    <row r="211" spans="1:8">
      <c r="A211" s="20" t="s">
        <v>230</v>
      </c>
      <c r="B211" s="88" t="s">
        <v>521</v>
      </c>
      <c r="C211" s="5" t="s">
        <v>273</v>
      </c>
      <c r="D211" s="27" t="s">
        <v>306</v>
      </c>
      <c r="E211" s="34" t="s">
        <v>169</v>
      </c>
      <c r="F211" s="6" t="s">
        <v>301</v>
      </c>
      <c r="G211" s="5" t="s">
        <v>128</v>
      </c>
      <c r="H211" s="59" t="s">
        <v>378</v>
      </c>
    </row>
    <row r="212" spans="1:8" s="14" customFormat="1">
      <c r="A212" s="76" t="s">
        <v>231</v>
      </c>
      <c r="B212" s="88" t="s">
        <v>521</v>
      </c>
      <c r="C212" s="14" t="s">
        <v>273</v>
      </c>
      <c r="D212" s="38" t="s">
        <v>306</v>
      </c>
      <c r="E212" s="39" t="s">
        <v>169</v>
      </c>
      <c r="F212" s="11" t="s">
        <v>301</v>
      </c>
      <c r="G212" s="14" t="s">
        <v>128</v>
      </c>
      <c r="H212" s="60" t="s">
        <v>378</v>
      </c>
    </row>
    <row r="213" spans="1:8">
      <c r="A213" s="71" t="s">
        <v>232</v>
      </c>
      <c r="B213" s="5" t="s">
        <v>522</v>
      </c>
      <c r="C213" s="5" t="s">
        <v>304</v>
      </c>
      <c r="D213" s="19" t="s">
        <v>305</v>
      </c>
      <c r="E213" s="34" t="s">
        <v>169</v>
      </c>
      <c r="F213" s="6" t="s">
        <v>301</v>
      </c>
      <c r="H213" s="71" t="s">
        <v>232</v>
      </c>
    </row>
    <row r="214" spans="1:8">
      <c r="A214" s="71" t="s">
        <v>233</v>
      </c>
      <c r="B214" s="5" t="s">
        <v>522</v>
      </c>
      <c r="C214" s="5" t="s">
        <v>304</v>
      </c>
      <c r="D214" s="27" t="s">
        <v>305</v>
      </c>
      <c r="E214" s="34" t="s">
        <v>169</v>
      </c>
      <c r="F214" s="6" t="s">
        <v>301</v>
      </c>
      <c r="H214" s="71" t="s">
        <v>233</v>
      </c>
    </row>
    <row r="215" spans="1:8">
      <c r="A215" s="71" t="s">
        <v>234</v>
      </c>
      <c r="B215" s="5" t="s">
        <v>522</v>
      </c>
      <c r="C215" s="5" t="s">
        <v>304</v>
      </c>
      <c r="D215" s="27" t="s">
        <v>305</v>
      </c>
      <c r="E215" s="34" t="s">
        <v>169</v>
      </c>
      <c r="F215" s="6" t="s">
        <v>301</v>
      </c>
      <c r="H215" s="71" t="s">
        <v>234</v>
      </c>
    </row>
    <row r="216" spans="1:8">
      <c r="A216" s="71" t="s">
        <v>235</v>
      </c>
      <c r="B216" s="5" t="s">
        <v>522</v>
      </c>
      <c r="C216" s="5" t="s">
        <v>304</v>
      </c>
      <c r="D216" s="27" t="s">
        <v>305</v>
      </c>
      <c r="E216" s="34" t="s">
        <v>169</v>
      </c>
      <c r="F216" s="6" t="s">
        <v>301</v>
      </c>
      <c r="H216" s="71" t="s">
        <v>235</v>
      </c>
    </row>
    <row r="217" spans="1:8">
      <c r="A217" s="71" t="s">
        <v>236</v>
      </c>
      <c r="B217" s="5" t="s">
        <v>522</v>
      </c>
      <c r="C217" s="5" t="s">
        <v>304</v>
      </c>
      <c r="D217" s="27" t="s">
        <v>305</v>
      </c>
      <c r="E217" s="34" t="s">
        <v>169</v>
      </c>
      <c r="F217" s="6" t="s">
        <v>301</v>
      </c>
      <c r="H217" s="71" t="s">
        <v>236</v>
      </c>
    </row>
    <row r="218" spans="1:8">
      <c r="A218" s="71" t="s">
        <v>237</v>
      </c>
      <c r="B218" s="5" t="s">
        <v>522</v>
      </c>
      <c r="C218" s="5" t="s">
        <v>304</v>
      </c>
      <c r="D218" s="27" t="s">
        <v>305</v>
      </c>
      <c r="E218" s="34" t="s">
        <v>169</v>
      </c>
      <c r="F218" s="6" t="s">
        <v>301</v>
      </c>
      <c r="H218" s="71" t="s">
        <v>237</v>
      </c>
    </row>
    <row r="219" spans="1:8">
      <c r="A219" s="71" t="s">
        <v>238</v>
      </c>
      <c r="B219" s="5" t="s">
        <v>522</v>
      </c>
      <c r="C219" s="5" t="s">
        <v>304</v>
      </c>
      <c r="D219" s="27" t="s">
        <v>305</v>
      </c>
      <c r="E219" s="34" t="s">
        <v>169</v>
      </c>
      <c r="F219" s="6" t="s">
        <v>301</v>
      </c>
      <c r="H219" s="71" t="s">
        <v>238</v>
      </c>
    </row>
    <row r="220" spans="1:8">
      <c r="A220" s="71" t="s">
        <v>239</v>
      </c>
      <c r="B220" s="5" t="s">
        <v>522</v>
      </c>
      <c r="C220" s="5" t="s">
        <v>304</v>
      </c>
      <c r="D220" s="27" t="s">
        <v>305</v>
      </c>
      <c r="E220" s="34" t="s">
        <v>169</v>
      </c>
      <c r="F220" s="6" t="s">
        <v>301</v>
      </c>
      <c r="H220" s="71" t="s">
        <v>239</v>
      </c>
    </row>
    <row r="221" spans="1:8">
      <c r="A221" s="71" t="s">
        <v>240</v>
      </c>
      <c r="B221" s="5" t="s">
        <v>522</v>
      </c>
      <c r="C221" s="5" t="s">
        <v>304</v>
      </c>
      <c r="D221" s="27" t="s">
        <v>305</v>
      </c>
      <c r="E221" s="34" t="s">
        <v>169</v>
      </c>
      <c r="F221" s="6" t="s">
        <v>301</v>
      </c>
      <c r="H221" s="71" t="s">
        <v>240</v>
      </c>
    </row>
    <row r="222" spans="1:8">
      <c r="A222" s="71" t="s">
        <v>241</v>
      </c>
      <c r="B222" s="5" t="s">
        <v>522</v>
      </c>
      <c r="C222" s="5" t="s">
        <v>304</v>
      </c>
      <c r="D222" s="27" t="s">
        <v>305</v>
      </c>
      <c r="E222" s="34" t="s">
        <v>169</v>
      </c>
      <c r="F222" s="6" t="s">
        <v>301</v>
      </c>
      <c r="H222" s="71" t="s">
        <v>241</v>
      </c>
    </row>
    <row r="223" spans="1:8">
      <c r="A223" s="71" t="s">
        <v>242</v>
      </c>
      <c r="B223" s="5" t="s">
        <v>522</v>
      </c>
      <c r="C223" s="5" t="s">
        <v>304</v>
      </c>
      <c r="D223" s="27" t="s">
        <v>305</v>
      </c>
      <c r="E223" s="34" t="s">
        <v>169</v>
      </c>
      <c r="F223" s="6" t="s">
        <v>301</v>
      </c>
      <c r="H223" s="71" t="s">
        <v>242</v>
      </c>
    </row>
    <row r="224" spans="1:8">
      <c r="A224" s="71" t="s">
        <v>243</v>
      </c>
      <c r="B224" s="5" t="s">
        <v>522</v>
      </c>
      <c r="C224" s="5" t="s">
        <v>304</v>
      </c>
      <c r="D224" s="27" t="s">
        <v>305</v>
      </c>
      <c r="E224" s="34" t="s">
        <v>169</v>
      </c>
      <c r="F224" s="6" t="s">
        <v>301</v>
      </c>
      <c r="H224" s="71" t="s">
        <v>243</v>
      </c>
    </row>
    <row r="225" spans="1:15">
      <c r="A225" s="71" t="s">
        <v>244</v>
      </c>
      <c r="B225" s="5" t="s">
        <v>522</v>
      </c>
      <c r="C225" s="5" t="s">
        <v>304</v>
      </c>
      <c r="D225" s="27" t="s">
        <v>305</v>
      </c>
      <c r="E225" s="34" t="s">
        <v>169</v>
      </c>
      <c r="F225" s="6" t="s">
        <v>301</v>
      </c>
      <c r="H225" s="71" t="s">
        <v>244</v>
      </c>
    </row>
    <row r="226" spans="1:15">
      <c r="A226" s="71" t="s">
        <v>245</v>
      </c>
      <c r="B226" s="5" t="s">
        <v>522</v>
      </c>
      <c r="C226" s="5" t="s">
        <v>304</v>
      </c>
      <c r="D226" s="27" t="s">
        <v>305</v>
      </c>
      <c r="E226" s="34" t="s">
        <v>169</v>
      </c>
      <c r="F226" s="6" t="s">
        <v>301</v>
      </c>
      <c r="H226" s="71" t="s">
        <v>245</v>
      </c>
    </row>
    <row r="227" spans="1:15">
      <c r="A227" s="71" t="s">
        <v>246</v>
      </c>
      <c r="B227" s="5" t="s">
        <v>522</v>
      </c>
      <c r="C227" s="5" t="s">
        <v>304</v>
      </c>
      <c r="D227" s="27" t="s">
        <v>305</v>
      </c>
      <c r="E227" s="34" t="s">
        <v>169</v>
      </c>
      <c r="F227" s="6" t="s">
        <v>301</v>
      </c>
      <c r="H227" s="71" t="s">
        <v>246</v>
      </c>
    </row>
    <row r="228" spans="1:15">
      <c r="A228" s="71" t="s">
        <v>247</v>
      </c>
      <c r="B228" s="5" t="s">
        <v>522</v>
      </c>
      <c r="C228" s="5" t="s">
        <v>304</v>
      </c>
      <c r="D228" s="27" t="s">
        <v>305</v>
      </c>
      <c r="E228" s="34" t="s">
        <v>169</v>
      </c>
      <c r="F228" s="6" t="s">
        <v>301</v>
      </c>
      <c r="H228" s="71" t="s">
        <v>247</v>
      </c>
    </row>
    <row r="229" spans="1:15">
      <c r="A229" s="71" t="s">
        <v>248</v>
      </c>
      <c r="B229" s="5" t="s">
        <v>522</v>
      </c>
      <c r="C229" s="5" t="s">
        <v>304</v>
      </c>
      <c r="D229" s="27" t="s">
        <v>305</v>
      </c>
      <c r="E229" s="34" t="s">
        <v>169</v>
      </c>
      <c r="F229" s="6" t="s">
        <v>301</v>
      </c>
      <c r="H229" s="71" t="s">
        <v>248</v>
      </c>
    </row>
    <row r="230" spans="1:15">
      <c r="A230" s="71" t="s">
        <v>249</v>
      </c>
      <c r="B230" s="5" t="s">
        <v>522</v>
      </c>
      <c r="C230" s="5" t="s">
        <v>304</v>
      </c>
      <c r="D230" s="27" t="s">
        <v>305</v>
      </c>
      <c r="E230" s="34" t="s">
        <v>169</v>
      </c>
      <c r="F230" s="6" t="s">
        <v>301</v>
      </c>
      <c r="H230" s="71" t="s">
        <v>249</v>
      </c>
    </row>
    <row r="231" spans="1:15">
      <c r="A231" s="71" t="s">
        <v>250</v>
      </c>
      <c r="B231" s="5" t="s">
        <v>522</v>
      </c>
      <c r="C231" s="5" t="s">
        <v>304</v>
      </c>
      <c r="D231" s="27" t="s">
        <v>305</v>
      </c>
      <c r="E231" s="34" t="s">
        <v>169</v>
      </c>
      <c r="F231" s="6" t="s">
        <v>301</v>
      </c>
      <c r="H231" s="71" t="s">
        <v>250</v>
      </c>
    </row>
    <row r="232" spans="1:15">
      <c r="A232" s="71" t="s">
        <v>251</v>
      </c>
      <c r="B232" s="5" t="s">
        <v>522</v>
      </c>
      <c r="C232" s="5" t="s">
        <v>304</v>
      </c>
      <c r="D232" s="27" t="s">
        <v>305</v>
      </c>
      <c r="E232" s="34" t="s">
        <v>169</v>
      </c>
      <c r="F232" s="6" t="s">
        <v>301</v>
      </c>
      <c r="H232" s="71" t="s">
        <v>251</v>
      </c>
    </row>
    <row r="233" spans="1:15">
      <c r="A233" s="71" t="s">
        <v>252</v>
      </c>
      <c r="B233" s="5" t="s">
        <v>522</v>
      </c>
      <c r="C233" s="5" t="s">
        <v>304</v>
      </c>
      <c r="D233" s="27" t="s">
        <v>305</v>
      </c>
      <c r="E233" s="34" t="s">
        <v>169</v>
      </c>
      <c r="F233" s="6" t="s">
        <v>301</v>
      </c>
      <c r="H233" s="71" t="s">
        <v>252</v>
      </c>
    </row>
    <row r="234" spans="1:15">
      <c r="A234" s="71" t="s">
        <v>253</v>
      </c>
      <c r="B234" s="5" t="s">
        <v>522</v>
      </c>
      <c r="C234" s="5" t="s">
        <v>304</v>
      </c>
      <c r="D234" s="27" t="s">
        <v>305</v>
      </c>
      <c r="E234" s="34" t="s">
        <v>169</v>
      </c>
      <c r="F234" s="6" t="s">
        <v>301</v>
      </c>
      <c r="H234" s="71" t="s">
        <v>253</v>
      </c>
    </row>
    <row r="235" spans="1:15">
      <c r="A235" s="71" t="s">
        <v>254</v>
      </c>
      <c r="B235" s="5" t="s">
        <v>522</v>
      </c>
      <c r="C235" s="5" t="s">
        <v>304</v>
      </c>
      <c r="D235" s="27" t="s">
        <v>305</v>
      </c>
      <c r="E235" s="34" t="s">
        <v>169</v>
      </c>
      <c r="F235" s="6" t="s">
        <v>301</v>
      </c>
      <c r="H235" s="71" t="s">
        <v>254</v>
      </c>
    </row>
    <row r="236" spans="1:15">
      <c r="A236" s="71" t="s">
        <v>255</v>
      </c>
      <c r="B236" s="5" t="s">
        <v>522</v>
      </c>
      <c r="C236" s="5" t="s">
        <v>304</v>
      </c>
      <c r="D236" s="27" t="s">
        <v>305</v>
      </c>
      <c r="E236" s="34" t="s">
        <v>169</v>
      </c>
      <c r="F236" s="6" t="s">
        <v>301</v>
      </c>
      <c r="H236" s="71" t="s">
        <v>255</v>
      </c>
    </row>
    <row r="237" spans="1:15" ht="18">
      <c r="A237" s="71" t="s">
        <v>256</v>
      </c>
      <c r="B237" s="5" t="s">
        <v>522</v>
      </c>
      <c r="C237" s="5" t="s">
        <v>304</v>
      </c>
      <c r="D237" s="27" t="s">
        <v>305</v>
      </c>
      <c r="E237" s="34" t="s">
        <v>169</v>
      </c>
      <c r="F237" s="6" t="s">
        <v>301</v>
      </c>
      <c r="H237" s="55" t="s">
        <v>443</v>
      </c>
      <c r="I237" s="55"/>
      <c r="J237" s="55"/>
      <c r="K237" s="55"/>
      <c r="L237" s="55"/>
      <c r="M237" s="55"/>
      <c r="N237" s="55"/>
      <c r="O237" s="55"/>
    </row>
    <row r="238" spans="1:15" ht="19">
      <c r="A238" s="71" t="s">
        <v>257</v>
      </c>
      <c r="B238" s="5" t="s">
        <v>522</v>
      </c>
      <c r="C238" s="5" t="s">
        <v>304</v>
      </c>
      <c r="D238" s="27" t="s">
        <v>305</v>
      </c>
      <c r="E238" s="34" t="s">
        <v>169</v>
      </c>
      <c r="F238" s="6" t="s">
        <v>301</v>
      </c>
      <c r="H238" s="55" t="s">
        <v>444</v>
      </c>
      <c r="I238" s="55"/>
      <c r="J238" s="55"/>
      <c r="K238" s="55"/>
      <c r="L238" s="55"/>
      <c r="M238" s="55"/>
      <c r="N238" s="55"/>
      <c r="O238" s="55"/>
    </row>
    <row r="239" spans="1:15" ht="18">
      <c r="A239" s="71" t="s">
        <v>258</v>
      </c>
      <c r="B239" s="5" t="s">
        <v>522</v>
      </c>
      <c r="C239" s="5" t="s">
        <v>304</v>
      </c>
      <c r="D239" s="27" t="s">
        <v>305</v>
      </c>
      <c r="E239" s="34" t="s">
        <v>169</v>
      </c>
      <c r="F239" s="6" t="s">
        <v>301</v>
      </c>
      <c r="H239" s="55" t="s">
        <v>445</v>
      </c>
      <c r="I239" s="55"/>
      <c r="J239" s="55"/>
      <c r="K239" s="55"/>
      <c r="L239" s="55"/>
      <c r="M239" s="55"/>
      <c r="N239" s="55"/>
      <c r="O239" s="55"/>
    </row>
    <row r="240" spans="1:15">
      <c r="A240" s="71" t="s">
        <v>259</v>
      </c>
      <c r="B240" s="5" t="s">
        <v>522</v>
      </c>
      <c r="C240" s="5" t="s">
        <v>304</v>
      </c>
      <c r="D240" s="27" t="s">
        <v>305</v>
      </c>
      <c r="E240" s="34" t="s">
        <v>169</v>
      </c>
      <c r="F240" s="6" t="s">
        <v>301</v>
      </c>
      <c r="H240" s="71" t="s">
        <v>249</v>
      </c>
    </row>
    <row r="241" spans="1:15" ht="18">
      <c r="A241" s="71" t="s">
        <v>260</v>
      </c>
      <c r="B241" s="5" t="s">
        <v>522</v>
      </c>
      <c r="C241" s="5" t="s">
        <v>304</v>
      </c>
      <c r="D241" s="27" t="s">
        <v>305</v>
      </c>
      <c r="E241" s="34" t="s">
        <v>169</v>
      </c>
      <c r="F241" s="6" t="s">
        <v>301</v>
      </c>
      <c r="H241" s="55" t="s">
        <v>446</v>
      </c>
      <c r="I241" s="55"/>
      <c r="J241" s="55"/>
      <c r="K241" s="55"/>
      <c r="L241" s="55"/>
      <c r="M241" s="55"/>
      <c r="N241" s="55"/>
      <c r="O241" s="55"/>
    </row>
    <row r="242" spans="1:15" ht="18">
      <c r="A242" s="71" t="s">
        <v>261</v>
      </c>
      <c r="B242" s="5" t="s">
        <v>522</v>
      </c>
      <c r="C242" s="5" t="s">
        <v>304</v>
      </c>
      <c r="D242" s="27" t="s">
        <v>305</v>
      </c>
      <c r="E242" s="34" t="s">
        <v>169</v>
      </c>
      <c r="F242" s="6" t="s">
        <v>301</v>
      </c>
      <c r="H242" s="55" t="s">
        <v>447</v>
      </c>
      <c r="I242" s="55"/>
      <c r="J242" s="55"/>
      <c r="K242" s="55"/>
      <c r="L242" s="55"/>
      <c r="M242" s="55"/>
      <c r="N242" s="55"/>
      <c r="O242" s="55"/>
    </row>
    <row r="243" spans="1:15">
      <c r="A243" s="71" t="s">
        <v>262</v>
      </c>
      <c r="B243" s="5" t="s">
        <v>522</v>
      </c>
      <c r="C243" s="5" t="s">
        <v>304</v>
      </c>
      <c r="D243" s="27" t="s">
        <v>305</v>
      </c>
      <c r="E243" s="34" t="s">
        <v>169</v>
      </c>
      <c r="F243" s="6" t="s">
        <v>301</v>
      </c>
      <c r="H243" s="71" t="s">
        <v>253</v>
      </c>
    </row>
    <row r="244" spans="1:15" ht="18">
      <c r="A244" s="71" t="s">
        <v>263</v>
      </c>
      <c r="B244" s="5" t="s">
        <v>522</v>
      </c>
      <c r="C244" s="5" t="s">
        <v>304</v>
      </c>
      <c r="D244" s="27" t="s">
        <v>305</v>
      </c>
      <c r="E244" s="34" t="s">
        <v>169</v>
      </c>
      <c r="F244" s="6" t="s">
        <v>301</v>
      </c>
      <c r="H244" s="56" t="s">
        <v>448</v>
      </c>
      <c r="I244" s="56"/>
      <c r="J244" s="56"/>
      <c r="K244" s="56"/>
      <c r="L244" s="56"/>
      <c r="M244" s="56"/>
      <c r="N244" s="56"/>
      <c r="O244" s="56"/>
    </row>
    <row r="245" spans="1:15">
      <c r="A245" s="71" t="s">
        <v>264</v>
      </c>
      <c r="B245" s="5" t="s">
        <v>522</v>
      </c>
      <c r="C245" s="5" t="s">
        <v>304</v>
      </c>
      <c r="D245" s="27" t="s">
        <v>305</v>
      </c>
      <c r="E245" s="34" t="s">
        <v>169</v>
      </c>
      <c r="F245" s="6" t="s">
        <v>301</v>
      </c>
      <c r="H245" s="71" t="s">
        <v>247</v>
      </c>
    </row>
    <row r="246" spans="1:15" ht="18">
      <c r="A246" s="71" t="s">
        <v>265</v>
      </c>
      <c r="B246" s="5" t="s">
        <v>522</v>
      </c>
      <c r="C246" s="5" t="s">
        <v>304</v>
      </c>
      <c r="D246" s="27" t="s">
        <v>305</v>
      </c>
      <c r="E246" s="34" t="s">
        <v>169</v>
      </c>
      <c r="F246" s="6" t="s">
        <v>301</v>
      </c>
      <c r="H246" s="57" t="s">
        <v>449</v>
      </c>
      <c r="I246" s="57"/>
      <c r="J246" s="57"/>
      <c r="K246" s="57"/>
      <c r="L246" s="57"/>
      <c r="M246" s="57"/>
      <c r="N246" s="57"/>
      <c r="O246" s="57"/>
    </row>
    <row r="247" spans="1:15">
      <c r="A247" s="71" t="s">
        <v>266</v>
      </c>
      <c r="B247" s="5" t="s">
        <v>522</v>
      </c>
      <c r="C247" s="5" t="s">
        <v>304</v>
      </c>
      <c r="D247" s="27" t="s">
        <v>305</v>
      </c>
      <c r="E247" s="34" t="s">
        <v>169</v>
      </c>
      <c r="F247" s="6" t="s">
        <v>301</v>
      </c>
      <c r="H247" s="71" t="s">
        <v>248</v>
      </c>
    </row>
    <row r="248" spans="1:15" ht="18">
      <c r="A248" s="71" t="s">
        <v>267</v>
      </c>
      <c r="B248" s="5" t="s">
        <v>522</v>
      </c>
      <c r="C248" s="5" t="s">
        <v>304</v>
      </c>
      <c r="D248" s="27" t="s">
        <v>305</v>
      </c>
      <c r="E248" s="34" t="s">
        <v>169</v>
      </c>
      <c r="F248" s="6" t="s">
        <v>301</v>
      </c>
      <c r="H248" s="57" t="s">
        <v>450</v>
      </c>
      <c r="I248" s="57"/>
      <c r="J248" s="57"/>
      <c r="K248" s="57"/>
      <c r="L248" s="57"/>
      <c r="M248" s="57"/>
      <c r="N248" s="57"/>
      <c r="O248" s="57"/>
    </row>
    <row r="249" spans="1:15">
      <c r="A249" s="71" t="s">
        <v>268</v>
      </c>
      <c r="B249" s="5" t="s">
        <v>522</v>
      </c>
      <c r="C249" s="5" t="s">
        <v>304</v>
      </c>
      <c r="D249" s="27" t="s">
        <v>305</v>
      </c>
      <c r="E249" s="34" t="s">
        <v>169</v>
      </c>
      <c r="F249" s="6" t="s">
        <v>301</v>
      </c>
      <c r="H249" s="71" t="s">
        <v>252</v>
      </c>
    </row>
    <row r="250" spans="1:15" ht="18">
      <c r="A250" s="71" t="s">
        <v>269</v>
      </c>
      <c r="B250" s="5" t="s">
        <v>522</v>
      </c>
      <c r="C250" s="5" t="s">
        <v>304</v>
      </c>
      <c r="D250" s="27" t="s">
        <v>305</v>
      </c>
      <c r="E250" s="34" t="s">
        <v>169</v>
      </c>
      <c r="F250" s="6" t="s">
        <v>301</v>
      </c>
      <c r="H250" s="57" t="s">
        <v>451</v>
      </c>
      <c r="I250" s="57"/>
      <c r="J250" s="57"/>
      <c r="K250" s="57"/>
      <c r="L250" s="57"/>
      <c r="M250" s="57"/>
      <c r="N250" s="57"/>
      <c r="O250" s="57"/>
    </row>
    <row r="251" spans="1:15">
      <c r="A251" s="71" t="s">
        <v>270</v>
      </c>
      <c r="B251" s="5" t="s">
        <v>522</v>
      </c>
      <c r="C251" s="5" t="s">
        <v>304</v>
      </c>
      <c r="D251" s="27" t="s">
        <v>305</v>
      </c>
      <c r="E251" s="34" t="s">
        <v>169</v>
      </c>
      <c r="F251" s="6" t="s">
        <v>301</v>
      </c>
      <c r="H251" s="71" t="s">
        <v>245</v>
      </c>
    </row>
    <row r="252" spans="1:15" ht="18">
      <c r="A252" s="71" t="s">
        <v>271</v>
      </c>
      <c r="B252" s="5" t="s">
        <v>522</v>
      </c>
      <c r="C252" s="5" t="s">
        <v>304</v>
      </c>
      <c r="D252" s="27" t="s">
        <v>305</v>
      </c>
      <c r="E252" s="34" t="s">
        <v>169</v>
      </c>
      <c r="F252" s="6" t="s">
        <v>301</v>
      </c>
      <c r="H252" s="57" t="s">
        <v>452</v>
      </c>
      <c r="I252" s="57"/>
      <c r="J252" s="57"/>
      <c r="K252" s="57"/>
      <c r="L252" s="57"/>
      <c r="M252" s="57"/>
      <c r="N252" s="57"/>
      <c r="O252" s="57"/>
    </row>
    <row r="253" spans="1:15" ht="18">
      <c r="A253" s="71" t="s">
        <v>272</v>
      </c>
      <c r="B253" s="5" t="s">
        <v>522</v>
      </c>
      <c r="C253" s="5" t="s">
        <v>304</v>
      </c>
      <c r="D253" s="27" t="s">
        <v>305</v>
      </c>
      <c r="E253" s="34" t="s">
        <v>169</v>
      </c>
      <c r="F253" s="6" t="s">
        <v>301</v>
      </c>
      <c r="H253" s="57" t="s">
        <v>453</v>
      </c>
      <c r="I253" s="57"/>
      <c r="J253" s="57"/>
      <c r="K253" s="57"/>
      <c r="L253" s="57"/>
      <c r="M253" s="57"/>
      <c r="N253" s="57"/>
      <c r="O253" s="57"/>
    </row>
    <row r="254" spans="1:15">
      <c r="A254" s="71" t="s">
        <v>70</v>
      </c>
      <c r="B254" s="5" t="s">
        <v>523</v>
      </c>
      <c r="C254" s="5" t="s">
        <v>334</v>
      </c>
      <c r="D254" s="19" t="s">
        <v>335</v>
      </c>
      <c r="E254" s="34" t="s">
        <v>169</v>
      </c>
      <c r="F254" s="6" t="s">
        <v>301</v>
      </c>
      <c r="H254" s="71" t="s">
        <v>70</v>
      </c>
    </row>
    <row r="255" spans="1:15">
      <c r="A255" s="71" t="s">
        <v>71</v>
      </c>
      <c r="B255" s="5" t="s">
        <v>524</v>
      </c>
      <c r="C255" s="5" t="s">
        <v>337</v>
      </c>
      <c r="D255" s="19" t="s">
        <v>336</v>
      </c>
      <c r="E255" s="34" t="s">
        <v>169</v>
      </c>
      <c r="F255" s="6" t="s">
        <v>301</v>
      </c>
      <c r="H255" s="71" t="s">
        <v>71</v>
      </c>
    </row>
    <row r="256" spans="1:15">
      <c r="A256" s="71" t="s">
        <v>72</v>
      </c>
      <c r="B256" s="5" t="s">
        <v>525</v>
      </c>
      <c r="C256" s="5" t="s">
        <v>333</v>
      </c>
      <c r="D256" s="19" t="s">
        <v>332</v>
      </c>
      <c r="E256" s="34" t="s">
        <v>169</v>
      </c>
      <c r="F256" s="6" t="s">
        <v>301</v>
      </c>
      <c r="H256" s="71" t="s">
        <v>72</v>
      </c>
    </row>
    <row r="257" spans="1:9">
      <c r="A257" s="71" t="s">
        <v>73</v>
      </c>
      <c r="B257" s="5" t="s">
        <v>525</v>
      </c>
      <c r="C257" s="5" t="s">
        <v>333</v>
      </c>
      <c r="D257" s="27" t="s">
        <v>332</v>
      </c>
      <c r="E257" s="34" t="s">
        <v>169</v>
      </c>
      <c r="F257" s="6" t="s">
        <v>301</v>
      </c>
      <c r="H257" s="71" t="s">
        <v>73</v>
      </c>
    </row>
    <row r="258" spans="1:9">
      <c r="A258" s="71" t="s">
        <v>74</v>
      </c>
      <c r="B258" s="5" t="s">
        <v>525</v>
      </c>
      <c r="C258" s="5" t="s">
        <v>333</v>
      </c>
      <c r="D258" s="27" t="s">
        <v>332</v>
      </c>
      <c r="E258" s="34" t="s">
        <v>169</v>
      </c>
      <c r="F258" s="6" t="s">
        <v>301</v>
      </c>
      <c r="H258" s="71" t="s">
        <v>74</v>
      </c>
    </row>
    <row r="259" spans="1:9" s="13" customFormat="1">
      <c r="A259" s="77" t="s">
        <v>454</v>
      </c>
      <c r="B259" s="13" t="s">
        <v>526</v>
      </c>
      <c r="C259" s="13" t="s">
        <v>472</v>
      </c>
      <c r="D259" s="35" t="s">
        <v>473</v>
      </c>
      <c r="E259" s="34" t="s">
        <v>169</v>
      </c>
      <c r="F259" s="6" t="s">
        <v>474</v>
      </c>
      <c r="H259" s="77" t="s">
        <v>475</v>
      </c>
      <c r="I259" s="13" t="s">
        <v>480</v>
      </c>
    </row>
    <row r="260" spans="1:9">
      <c r="A260" s="77" t="s">
        <v>455</v>
      </c>
      <c r="B260" s="13" t="s">
        <v>526</v>
      </c>
      <c r="C260" s="13" t="s">
        <v>472</v>
      </c>
      <c r="D260" s="35" t="s">
        <v>473</v>
      </c>
      <c r="E260" s="34" t="s">
        <v>169</v>
      </c>
      <c r="F260" s="6" t="s">
        <v>474</v>
      </c>
      <c r="H260" s="77" t="s">
        <v>475</v>
      </c>
      <c r="I260" s="13" t="s">
        <v>480</v>
      </c>
    </row>
    <row r="261" spans="1:9">
      <c r="A261" s="77" t="s">
        <v>456</v>
      </c>
      <c r="B261" s="13" t="s">
        <v>526</v>
      </c>
      <c r="C261" s="13" t="s">
        <v>472</v>
      </c>
      <c r="D261" s="35" t="s">
        <v>473</v>
      </c>
      <c r="E261" s="34" t="s">
        <v>169</v>
      </c>
      <c r="F261" s="6" t="s">
        <v>474</v>
      </c>
      <c r="H261" s="77" t="s">
        <v>475</v>
      </c>
      <c r="I261" s="13" t="s">
        <v>480</v>
      </c>
    </row>
    <row r="262" spans="1:9">
      <c r="A262" s="77" t="s">
        <v>457</v>
      </c>
      <c r="B262" s="13" t="s">
        <v>526</v>
      </c>
      <c r="C262" s="13" t="s">
        <v>472</v>
      </c>
      <c r="D262" s="35" t="s">
        <v>473</v>
      </c>
      <c r="E262" s="34" t="s">
        <v>169</v>
      </c>
      <c r="F262" s="6" t="s">
        <v>474</v>
      </c>
      <c r="H262" s="77" t="s">
        <v>476</v>
      </c>
      <c r="I262" s="13" t="s">
        <v>480</v>
      </c>
    </row>
    <row r="263" spans="1:9">
      <c r="A263" s="77" t="s">
        <v>458</v>
      </c>
      <c r="B263" s="13" t="s">
        <v>526</v>
      </c>
      <c r="C263" s="13" t="s">
        <v>472</v>
      </c>
      <c r="D263" s="35" t="s">
        <v>473</v>
      </c>
      <c r="E263" s="34" t="s">
        <v>169</v>
      </c>
      <c r="F263" s="6" t="s">
        <v>474</v>
      </c>
      <c r="H263" s="77" t="s">
        <v>476</v>
      </c>
      <c r="I263" s="13" t="s">
        <v>480</v>
      </c>
    </row>
    <row r="264" spans="1:9">
      <c r="A264" s="77" t="s">
        <v>459</v>
      </c>
      <c r="B264" s="13" t="s">
        <v>526</v>
      </c>
      <c r="C264" s="13" t="s">
        <v>472</v>
      </c>
      <c r="D264" s="35" t="s">
        <v>473</v>
      </c>
      <c r="E264" s="34" t="s">
        <v>169</v>
      </c>
      <c r="F264" s="6" t="s">
        <v>474</v>
      </c>
      <c r="H264" s="77" t="s">
        <v>476</v>
      </c>
      <c r="I264" s="13" t="s">
        <v>480</v>
      </c>
    </row>
    <row r="265" spans="1:9">
      <c r="A265" s="77" t="s">
        <v>460</v>
      </c>
      <c r="B265" s="13" t="s">
        <v>526</v>
      </c>
      <c r="C265" s="13" t="s">
        <v>472</v>
      </c>
      <c r="D265" s="35" t="s">
        <v>473</v>
      </c>
      <c r="E265" s="34" t="s">
        <v>169</v>
      </c>
      <c r="F265" s="6" t="s">
        <v>474</v>
      </c>
      <c r="H265" s="77" t="s">
        <v>476</v>
      </c>
      <c r="I265" s="13" t="s">
        <v>480</v>
      </c>
    </row>
    <row r="266" spans="1:9">
      <c r="A266" s="77" t="s">
        <v>461</v>
      </c>
      <c r="B266" s="13" t="s">
        <v>526</v>
      </c>
      <c r="C266" s="13" t="s">
        <v>472</v>
      </c>
      <c r="D266" s="35" t="s">
        <v>473</v>
      </c>
      <c r="E266" s="34" t="s">
        <v>169</v>
      </c>
      <c r="F266" s="6" t="s">
        <v>474</v>
      </c>
      <c r="H266" s="77" t="s">
        <v>477</v>
      </c>
      <c r="I266" s="13" t="s">
        <v>480</v>
      </c>
    </row>
    <row r="267" spans="1:9">
      <c r="A267" s="77" t="s">
        <v>462</v>
      </c>
      <c r="B267" s="13" t="s">
        <v>526</v>
      </c>
      <c r="C267" s="13" t="s">
        <v>472</v>
      </c>
      <c r="D267" s="35" t="s">
        <v>473</v>
      </c>
      <c r="E267" s="34" t="s">
        <v>169</v>
      </c>
      <c r="F267" s="6" t="s">
        <v>474</v>
      </c>
      <c r="H267" s="77" t="s">
        <v>477</v>
      </c>
      <c r="I267" s="13" t="s">
        <v>480</v>
      </c>
    </row>
    <row r="268" spans="1:9">
      <c r="A268" s="77" t="s">
        <v>463</v>
      </c>
      <c r="B268" s="13" t="s">
        <v>526</v>
      </c>
      <c r="C268" s="13" t="s">
        <v>472</v>
      </c>
      <c r="D268" s="35" t="s">
        <v>473</v>
      </c>
      <c r="E268" s="34" t="s">
        <v>169</v>
      </c>
      <c r="F268" s="6" t="s">
        <v>474</v>
      </c>
      <c r="H268" s="77" t="s">
        <v>477</v>
      </c>
      <c r="I268" s="13" t="s">
        <v>480</v>
      </c>
    </row>
    <row r="269" spans="1:9">
      <c r="A269" s="77" t="s">
        <v>464</v>
      </c>
      <c r="B269" s="13" t="s">
        <v>526</v>
      </c>
      <c r="C269" s="13" t="s">
        <v>472</v>
      </c>
      <c r="D269" s="35" t="s">
        <v>473</v>
      </c>
      <c r="E269" s="34" t="s">
        <v>169</v>
      </c>
      <c r="F269" s="6" t="s">
        <v>474</v>
      </c>
      <c r="H269" s="77" t="s">
        <v>477</v>
      </c>
      <c r="I269" s="13" t="s">
        <v>480</v>
      </c>
    </row>
    <row r="270" spans="1:9">
      <c r="A270" s="77" t="s">
        <v>465</v>
      </c>
      <c r="B270" s="13" t="s">
        <v>526</v>
      </c>
      <c r="C270" s="13" t="s">
        <v>472</v>
      </c>
      <c r="D270" s="35" t="s">
        <v>473</v>
      </c>
      <c r="E270" s="34" t="s">
        <v>169</v>
      </c>
      <c r="F270" s="6" t="s">
        <v>474</v>
      </c>
      <c r="H270" s="77" t="s">
        <v>478</v>
      </c>
      <c r="I270" s="13" t="s">
        <v>480</v>
      </c>
    </row>
    <row r="271" spans="1:9">
      <c r="A271" s="77" t="s">
        <v>466</v>
      </c>
      <c r="B271" s="13" t="s">
        <v>526</v>
      </c>
      <c r="C271" s="13" t="s">
        <v>472</v>
      </c>
      <c r="D271" s="35" t="s">
        <v>473</v>
      </c>
      <c r="E271" s="34" t="s">
        <v>169</v>
      </c>
      <c r="F271" s="6" t="s">
        <v>474</v>
      </c>
      <c r="H271" s="77" t="s">
        <v>478</v>
      </c>
      <c r="I271" s="13" t="s">
        <v>480</v>
      </c>
    </row>
    <row r="272" spans="1:9">
      <c r="A272" s="77" t="s">
        <v>467</v>
      </c>
      <c r="B272" s="13" t="s">
        <v>526</v>
      </c>
      <c r="C272" s="13" t="s">
        <v>472</v>
      </c>
      <c r="D272" s="35" t="s">
        <v>473</v>
      </c>
      <c r="E272" s="34" t="s">
        <v>169</v>
      </c>
      <c r="F272" s="6" t="s">
        <v>474</v>
      </c>
      <c r="H272" s="77" t="s">
        <v>478</v>
      </c>
      <c r="I272" s="13" t="s">
        <v>480</v>
      </c>
    </row>
    <row r="273" spans="1:10">
      <c r="A273" s="77" t="s">
        <v>468</v>
      </c>
      <c r="B273" s="13" t="s">
        <v>526</v>
      </c>
      <c r="C273" s="13" t="s">
        <v>472</v>
      </c>
      <c r="D273" s="35" t="s">
        <v>473</v>
      </c>
      <c r="E273" s="34" t="s">
        <v>169</v>
      </c>
      <c r="F273" s="6" t="s">
        <v>474</v>
      </c>
      <c r="H273" s="77" t="s">
        <v>478</v>
      </c>
      <c r="I273" s="13" t="s">
        <v>480</v>
      </c>
    </row>
    <row r="274" spans="1:10">
      <c r="A274" s="77" t="s">
        <v>469</v>
      </c>
      <c r="B274" s="13" t="s">
        <v>526</v>
      </c>
      <c r="C274" s="13" t="s">
        <v>472</v>
      </c>
      <c r="D274" s="35" t="s">
        <v>473</v>
      </c>
      <c r="E274" s="34" t="s">
        <v>169</v>
      </c>
      <c r="F274" s="6" t="s">
        <v>474</v>
      </c>
      <c r="H274" s="77" t="s">
        <v>479</v>
      </c>
      <c r="I274" s="13" t="s">
        <v>480</v>
      </c>
    </row>
    <row r="275" spans="1:10">
      <c r="A275" s="77" t="s">
        <v>470</v>
      </c>
      <c r="B275" s="13" t="s">
        <v>526</v>
      </c>
      <c r="C275" s="13" t="s">
        <v>472</v>
      </c>
      <c r="D275" s="35" t="s">
        <v>473</v>
      </c>
      <c r="E275" s="34" t="s">
        <v>169</v>
      </c>
      <c r="F275" s="6" t="s">
        <v>474</v>
      </c>
      <c r="H275" s="77" t="s">
        <v>479</v>
      </c>
      <c r="I275" s="13" t="s">
        <v>480</v>
      </c>
    </row>
    <row r="276" spans="1:10">
      <c r="A276" s="77" t="s">
        <v>471</v>
      </c>
      <c r="B276" s="13" t="s">
        <v>526</v>
      </c>
      <c r="C276" s="13" t="s">
        <v>472</v>
      </c>
      <c r="D276" s="35" t="s">
        <v>473</v>
      </c>
      <c r="E276" s="34" t="s">
        <v>169</v>
      </c>
      <c r="F276" s="6" t="s">
        <v>474</v>
      </c>
      <c r="H276" s="77" t="s">
        <v>479</v>
      </c>
      <c r="I276" s="13" t="s">
        <v>480</v>
      </c>
    </row>
    <row r="277" spans="1:10" s="15" customFormat="1">
      <c r="A277" s="7" t="s">
        <v>276</v>
      </c>
      <c r="B277" s="13" t="s">
        <v>521</v>
      </c>
      <c r="C277" s="15" t="s">
        <v>273</v>
      </c>
      <c r="D277" s="40" t="s">
        <v>306</v>
      </c>
      <c r="E277" s="36" t="s">
        <v>169</v>
      </c>
      <c r="F277" s="15" t="s">
        <v>302</v>
      </c>
      <c r="G277" s="15" t="s">
        <v>128</v>
      </c>
      <c r="H277" s="7" t="s">
        <v>276</v>
      </c>
      <c r="J277" s="41">
        <v>0.52</v>
      </c>
    </row>
    <row r="278" spans="1:10" s="15" customFormat="1">
      <c r="A278" s="7" t="s">
        <v>277</v>
      </c>
      <c r="B278" s="13" t="s">
        <v>521</v>
      </c>
      <c r="C278" s="15" t="s">
        <v>273</v>
      </c>
      <c r="D278" s="40" t="s">
        <v>306</v>
      </c>
      <c r="E278" s="34" t="s">
        <v>169</v>
      </c>
      <c r="F278" s="15" t="s">
        <v>302</v>
      </c>
      <c r="G278" s="15" t="s">
        <v>167</v>
      </c>
      <c r="H278" s="7" t="s">
        <v>277</v>
      </c>
      <c r="J278" s="41">
        <v>0.12</v>
      </c>
    </row>
    <row r="279" spans="1:10" s="15" customFormat="1">
      <c r="A279" s="7" t="s">
        <v>278</v>
      </c>
      <c r="B279" s="13" t="s">
        <v>521</v>
      </c>
      <c r="C279" s="15" t="s">
        <v>273</v>
      </c>
      <c r="D279" s="40" t="s">
        <v>306</v>
      </c>
      <c r="E279" s="34" t="s">
        <v>169</v>
      </c>
      <c r="F279" s="15" t="s">
        <v>302</v>
      </c>
      <c r="G279" s="15" t="s">
        <v>167</v>
      </c>
      <c r="H279" s="7" t="s">
        <v>278</v>
      </c>
      <c r="J279" s="41">
        <v>0.18</v>
      </c>
    </row>
    <row r="280" spans="1:10" s="15" customFormat="1">
      <c r="A280" s="7" t="s">
        <v>279</v>
      </c>
      <c r="B280" s="13" t="s">
        <v>521</v>
      </c>
      <c r="C280" s="15" t="s">
        <v>273</v>
      </c>
      <c r="D280" s="40" t="s">
        <v>306</v>
      </c>
      <c r="E280" s="34" t="s">
        <v>169</v>
      </c>
      <c r="F280" s="15" t="s">
        <v>302</v>
      </c>
      <c r="G280" s="15" t="s">
        <v>167</v>
      </c>
      <c r="H280" s="7" t="s">
        <v>279</v>
      </c>
      <c r="J280" s="41">
        <v>0.23</v>
      </c>
    </row>
    <row r="281" spans="1:10" s="15" customFormat="1">
      <c r="A281" s="7" t="s">
        <v>280</v>
      </c>
      <c r="B281" s="13" t="s">
        <v>521</v>
      </c>
      <c r="C281" s="15" t="s">
        <v>273</v>
      </c>
      <c r="D281" s="40" t="s">
        <v>306</v>
      </c>
      <c r="E281" s="34" t="s">
        <v>169</v>
      </c>
      <c r="F281" s="15" t="s">
        <v>302</v>
      </c>
      <c r="G281" s="15" t="s">
        <v>167</v>
      </c>
      <c r="H281" s="7" t="s">
        <v>280</v>
      </c>
      <c r="J281" s="41">
        <v>0.34</v>
      </c>
    </row>
    <row r="282" spans="1:10" s="15" customFormat="1">
      <c r="A282" s="7" t="s">
        <v>281</v>
      </c>
      <c r="B282" s="13" t="s">
        <v>521</v>
      </c>
      <c r="C282" s="15" t="s">
        <v>273</v>
      </c>
      <c r="D282" s="40" t="s">
        <v>306</v>
      </c>
      <c r="E282" s="34" t="s">
        <v>169</v>
      </c>
      <c r="F282" s="15" t="s">
        <v>302</v>
      </c>
      <c r="G282" s="15" t="s">
        <v>167</v>
      </c>
      <c r="H282" s="7" t="s">
        <v>281</v>
      </c>
      <c r="J282" s="41">
        <v>0.45</v>
      </c>
    </row>
    <row r="283" spans="1:10" s="15" customFormat="1">
      <c r="A283" s="7" t="s">
        <v>282</v>
      </c>
      <c r="B283" s="13" t="s">
        <v>521</v>
      </c>
      <c r="C283" s="15" t="s">
        <v>273</v>
      </c>
      <c r="D283" s="40" t="s">
        <v>306</v>
      </c>
      <c r="E283" s="34" t="s">
        <v>169</v>
      </c>
      <c r="F283" s="15" t="s">
        <v>302</v>
      </c>
      <c r="G283" s="15" t="s">
        <v>167</v>
      </c>
      <c r="H283" s="7" t="s">
        <v>282</v>
      </c>
      <c r="J283" s="41">
        <v>0.12</v>
      </c>
    </row>
    <row r="284" spans="1:10" s="15" customFormat="1">
      <c r="A284" s="7" t="s">
        <v>283</v>
      </c>
      <c r="B284" s="13" t="s">
        <v>521</v>
      </c>
      <c r="C284" s="15" t="s">
        <v>273</v>
      </c>
      <c r="D284" s="40" t="s">
        <v>306</v>
      </c>
      <c r="E284" s="34" t="s">
        <v>169</v>
      </c>
      <c r="F284" s="15" t="s">
        <v>302</v>
      </c>
      <c r="G284" s="15" t="s">
        <v>167</v>
      </c>
      <c r="H284" s="7" t="s">
        <v>283</v>
      </c>
      <c r="J284" s="41">
        <v>0.18</v>
      </c>
    </row>
    <row r="285" spans="1:10" s="15" customFormat="1">
      <c r="A285" s="7" t="s">
        <v>284</v>
      </c>
      <c r="B285" s="13" t="s">
        <v>521</v>
      </c>
      <c r="C285" s="15" t="s">
        <v>273</v>
      </c>
      <c r="D285" s="40" t="s">
        <v>306</v>
      </c>
      <c r="E285" s="34" t="s">
        <v>169</v>
      </c>
      <c r="F285" s="15" t="s">
        <v>302</v>
      </c>
      <c r="G285" s="15" t="s">
        <v>167</v>
      </c>
      <c r="H285" s="7" t="s">
        <v>284</v>
      </c>
      <c r="J285" s="41">
        <v>0.23</v>
      </c>
    </row>
    <row r="286" spans="1:10" s="15" customFormat="1">
      <c r="A286" s="7" t="s">
        <v>285</v>
      </c>
      <c r="B286" s="13" t="s">
        <v>521</v>
      </c>
      <c r="C286" s="15" t="s">
        <v>273</v>
      </c>
      <c r="D286" s="40" t="s">
        <v>306</v>
      </c>
      <c r="E286" s="34" t="s">
        <v>169</v>
      </c>
      <c r="F286" s="15" t="s">
        <v>302</v>
      </c>
      <c r="G286" s="15" t="s">
        <v>167</v>
      </c>
      <c r="H286" s="7" t="s">
        <v>285</v>
      </c>
      <c r="J286" s="41">
        <v>0.34</v>
      </c>
    </row>
    <row r="287" spans="1:10" s="15" customFormat="1">
      <c r="A287" s="7" t="s">
        <v>286</v>
      </c>
      <c r="B287" s="13" t="s">
        <v>521</v>
      </c>
      <c r="C287" s="15" t="s">
        <v>273</v>
      </c>
      <c r="D287" s="40" t="s">
        <v>306</v>
      </c>
      <c r="E287" s="34" t="s">
        <v>169</v>
      </c>
      <c r="F287" s="15" t="s">
        <v>302</v>
      </c>
      <c r="G287" s="15" t="s">
        <v>167</v>
      </c>
      <c r="H287" s="7" t="s">
        <v>286</v>
      </c>
      <c r="J287" s="41">
        <v>0.45</v>
      </c>
    </row>
    <row r="288" spans="1:10" s="15" customFormat="1">
      <c r="A288" s="7" t="s">
        <v>287</v>
      </c>
      <c r="B288" s="13" t="s">
        <v>521</v>
      </c>
      <c r="C288" s="15" t="s">
        <v>273</v>
      </c>
      <c r="D288" s="40" t="s">
        <v>306</v>
      </c>
      <c r="E288" s="34" t="s">
        <v>169</v>
      </c>
      <c r="F288" s="15" t="s">
        <v>302</v>
      </c>
      <c r="G288" s="15" t="s">
        <v>167</v>
      </c>
      <c r="H288" s="7" t="s">
        <v>287</v>
      </c>
      <c r="J288" s="41">
        <v>0.12</v>
      </c>
    </row>
    <row r="289" spans="1:10" s="15" customFormat="1">
      <c r="A289" s="7" t="s">
        <v>288</v>
      </c>
      <c r="B289" s="13" t="s">
        <v>521</v>
      </c>
      <c r="C289" s="15" t="s">
        <v>273</v>
      </c>
      <c r="D289" s="40" t="s">
        <v>306</v>
      </c>
      <c r="E289" s="34" t="s">
        <v>169</v>
      </c>
      <c r="F289" s="15" t="s">
        <v>302</v>
      </c>
      <c r="G289" s="15" t="s">
        <v>167</v>
      </c>
      <c r="H289" s="7" t="s">
        <v>288</v>
      </c>
      <c r="J289" s="41">
        <v>0.18</v>
      </c>
    </row>
    <row r="290" spans="1:10" s="15" customFormat="1">
      <c r="A290" s="7" t="s">
        <v>289</v>
      </c>
      <c r="B290" s="13" t="s">
        <v>521</v>
      </c>
      <c r="C290" s="15" t="s">
        <v>273</v>
      </c>
      <c r="D290" s="40" t="s">
        <v>306</v>
      </c>
      <c r="E290" s="34" t="s">
        <v>169</v>
      </c>
      <c r="F290" s="15" t="s">
        <v>302</v>
      </c>
      <c r="G290" s="15" t="s">
        <v>167</v>
      </c>
      <c r="H290" s="7" t="s">
        <v>289</v>
      </c>
      <c r="J290" s="41">
        <v>0.23</v>
      </c>
    </row>
    <row r="291" spans="1:10" s="15" customFormat="1">
      <c r="A291" s="7" t="s">
        <v>290</v>
      </c>
      <c r="B291" s="13" t="s">
        <v>521</v>
      </c>
      <c r="C291" s="15" t="s">
        <v>273</v>
      </c>
      <c r="D291" s="40" t="s">
        <v>306</v>
      </c>
      <c r="E291" s="34" t="s">
        <v>169</v>
      </c>
      <c r="F291" s="15" t="s">
        <v>302</v>
      </c>
      <c r="G291" s="15" t="s">
        <v>167</v>
      </c>
      <c r="H291" s="7" t="s">
        <v>290</v>
      </c>
      <c r="J291" s="41">
        <v>0.34</v>
      </c>
    </row>
    <row r="292" spans="1:10" s="15" customFormat="1">
      <c r="A292" s="7" t="s">
        <v>291</v>
      </c>
      <c r="B292" s="13" t="s">
        <v>521</v>
      </c>
      <c r="C292" s="15" t="s">
        <v>273</v>
      </c>
      <c r="D292" s="40" t="s">
        <v>306</v>
      </c>
      <c r="E292" s="34" t="s">
        <v>169</v>
      </c>
      <c r="F292" s="15" t="s">
        <v>302</v>
      </c>
      <c r="G292" s="15" t="s">
        <v>167</v>
      </c>
      <c r="H292" s="7" t="s">
        <v>291</v>
      </c>
      <c r="J292" s="41">
        <v>0.45</v>
      </c>
    </row>
    <row r="293" spans="1:10" s="15" customFormat="1">
      <c r="A293" s="7" t="s">
        <v>292</v>
      </c>
      <c r="B293" s="13" t="s">
        <v>521</v>
      </c>
      <c r="C293" s="15" t="s">
        <v>273</v>
      </c>
      <c r="D293" s="40" t="s">
        <v>306</v>
      </c>
      <c r="E293" s="34" t="s">
        <v>169</v>
      </c>
      <c r="F293" s="15" t="s">
        <v>302</v>
      </c>
      <c r="G293" s="15" t="s">
        <v>128</v>
      </c>
      <c r="H293" s="63" t="s">
        <v>375</v>
      </c>
    </row>
    <row r="294" spans="1:10" s="15" customFormat="1">
      <c r="A294" s="7" t="s">
        <v>293</v>
      </c>
      <c r="B294" s="13" t="s">
        <v>521</v>
      </c>
      <c r="C294" s="15" t="s">
        <v>273</v>
      </c>
      <c r="D294" s="40" t="s">
        <v>306</v>
      </c>
      <c r="E294" s="34" t="s">
        <v>169</v>
      </c>
      <c r="F294" s="15" t="s">
        <v>302</v>
      </c>
      <c r="G294" s="15" t="s">
        <v>128</v>
      </c>
      <c r="H294" s="63" t="s">
        <v>375</v>
      </c>
    </row>
    <row r="295" spans="1:10" s="15" customFormat="1">
      <c r="A295" s="7" t="s">
        <v>294</v>
      </c>
      <c r="B295" s="13" t="s">
        <v>521</v>
      </c>
      <c r="C295" s="15" t="s">
        <v>273</v>
      </c>
      <c r="D295" s="40" t="s">
        <v>306</v>
      </c>
      <c r="E295" s="34" t="s">
        <v>169</v>
      </c>
      <c r="F295" s="15" t="s">
        <v>302</v>
      </c>
      <c r="G295" s="15" t="s">
        <v>128</v>
      </c>
      <c r="H295" s="63" t="s">
        <v>375</v>
      </c>
    </row>
    <row r="296" spans="1:10" s="15" customFormat="1">
      <c r="A296" s="7" t="s">
        <v>295</v>
      </c>
      <c r="B296" s="13" t="s">
        <v>521</v>
      </c>
      <c r="C296" s="15" t="s">
        <v>273</v>
      </c>
      <c r="D296" s="40" t="s">
        <v>306</v>
      </c>
      <c r="E296" s="34" t="s">
        <v>169</v>
      </c>
      <c r="F296" s="15" t="s">
        <v>302</v>
      </c>
      <c r="G296" s="15" t="s">
        <v>128</v>
      </c>
      <c r="H296" s="63" t="s">
        <v>376</v>
      </c>
    </row>
    <row r="297" spans="1:10" s="15" customFormat="1">
      <c r="A297" s="7" t="s">
        <v>296</v>
      </c>
      <c r="B297" s="13" t="s">
        <v>521</v>
      </c>
      <c r="C297" s="15" t="s">
        <v>273</v>
      </c>
      <c r="D297" s="40" t="s">
        <v>306</v>
      </c>
      <c r="E297" s="34" t="s">
        <v>169</v>
      </c>
      <c r="F297" s="15" t="s">
        <v>302</v>
      </c>
      <c r="G297" s="15" t="s">
        <v>128</v>
      </c>
      <c r="H297" s="63" t="s">
        <v>376</v>
      </c>
    </row>
    <row r="298" spans="1:10" s="15" customFormat="1">
      <c r="A298" s="7" t="s">
        <v>297</v>
      </c>
      <c r="B298" s="13" t="s">
        <v>521</v>
      </c>
      <c r="C298" s="15" t="s">
        <v>273</v>
      </c>
      <c r="D298" s="40" t="s">
        <v>306</v>
      </c>
      <c r="E298" s="34" t="s">
        <v>169</v>
      </c>
      <c r="F298" s="15" t="s">
        <v>302</v>
      </c>
      <c r="G298" s="15" t="s">
        <v>128</v>
      </c>
      <c r="H298" s="63" t="s">
        <v>376</v>
      </c>
    </row>
    <row r="299" spans="1:10" s="15" customFormat="1">
      <c r="A299" s="7" t="s">
        <v>298</v>
      </c>
      <c r="B299" s="13" t="s">
        <v>521</v>
      </c>
      <c r="C299" s="15" t="s">
        <v>273</v>
      </c>
      <c r="D299" s="40" t="s">
        <v>306</v>
      </c>
      <c r="E299" s="34" t="s">
        <v>169</v>
      </c>
      <c r="F299" s="15" t="s">
        <v>302</v>
      </c>
      <c r="G299" s="15" t="s">
        <v>128</v>
      </c>
      <c r="H299" s="63" t="s">
        <v>377</v>
      </c>
    </row>
    <row r="300" spans="1:10" s="15" customFormat="1">
      <c r="A300" s="7" t="s">
        <v>299</v>
      </c>
      <c r="B300" s="13" t="s">
        <v>521</v>
      </c>
      <c r="C300" s="15" t="s">
        <v>273</v>
      </c>
      <c r="D300" s="40" t="s">
        <v>306</v>
      </c>
      <c r="E300" s="34" t="s">
        <v>169</v>
      </c>
      <c r="F300" s="15" t="s">
        <v>302</v>
      </c>
      <c r="G300" s="15" t="s">
        <v>128</v>
      </c>
      <c r="H300" s="63" t="s">
        <v>377</v>
      </c>
    </row>
    <row r="301" spans="1:10" s="15" customFormat="1">
      <c r="A301" s="7" t="s">
        <v>300</v>
      </c>
      <c r="B301" s="13" t="s">
        <v>521</v>
      </c>
      <c r="C301" s="15" t="s">
        <v>273</v>
      </c>
      <c r="D301" s="40" t="s">
        <v>306</v>
      </c>
      <c r="E301" s="39" t="s">
        <v>169</v>
      </c>
      <c r="F301" s="15" t="s">
        <v>302</v>
      </c>
      <c r="G301" s="15" t="s">
        <v>128</v>
      </c>
      <c r="H301" s="63" t="s">
        <v>377</v>
      </c>
    </row>
  </sheetData>
  <phoneticPr fontId="26" type="noConversion"/>
  <hyperlinks>
    <hyperlink ref="D159" r:id="rId1" xr:uid="{BF63034B-E53E-AA4F-9F22-3EC9CCE474BD}"/>
    <hyperlink ref="D65" r:id="rId2" xr:uid="{12F09F70-FE55-1B48-A124-DF9255DDD8D6}"/>
    <hyperlink ref="D110" r:id="rId3" xr:uid="{7024BF1C-8A7B-9B48-8CB2-F5F3D6879325}"/>
    <hyperlink ref="D191" r:id="rId4" xr:uid="{FD15D7B9-B602-F841-9632-B35EF44237F5}"/>
    <hyperlink ref="D213" r:id="rId5" xr:uid="{6D93E524-81D0-BD4E-AED5-D0DE0C67EFAA}"/>
    <hyperlink ref="D254" r:id="rId6" xr:uid="{2D7E61EA-1ED9-BE45-91D1-0188130DC127}"/>
    <hyperlink ref="D255" r:id="rId7" xr:uid="{2915129E-799F-B642-A88D-0AA1765EED24}"/>
    <hyperlink ref="D256" r:id="rId8" xr:uid="{A23A57CE-DCAF-8748-8F9A-3C8D2C95D777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A6340-544E-644E-8C04-4BDDB8CC372C}">
  <dimension ref="A1:A276"/>
  <sheetViews>
    <sheetView tabSelected="1" topLeftCell="A28" workbookViewId="0">
      <selection sqref="A1:A1048576"/>
    </sheetView>
  </sheetViews>
  <sheetFormatPr baseColWidth="10" defaultRowHeight="16"/>
  <cols>
    <col min="1" max="1" width="37.1640625" style="5" customWidth="1"/>
  </cols>
  <sheetData>
    <row r="1" spans="1:1">
      <c r="A1" s="78" t="s">
        <v>516</v>
      </c>
    </row>
    <row r="2" spans="1:1">
      <c r="A2" s="58" t="s">
        <v>394</v>
      </c>
    </row>
    <row r="3" spans="1:1">
      <c r="A3" s="59" t="s">
        <v>395</v>
      </c>
    </row>
    <row r="4" spans="1:1">
      <c r="A4" s="59" t="s">
        <v>396</v>
      </c>
    </row>
    <row r="5" spans="1:1">
      <c r="A5" s="90" t="s">
        <v>14</v>
      </c>
    </row>
    <row r="6" spans="1:1">
      <c r="A6" s="59" t="s">
        <v>361</v>
      </c>
    </row>
    <row r="7" spans="1:1">
      <c r="A7" s="59" t="s">
        <v>362</v>
      </c>
    </row>
    <row r="8" spans="1:1">
      <c r="A8" s="59" t="s">
        <v>363</v>
      </c>
    </row>
    <row r="9" spans="1:1">
      <c r="A9" s="59" t="s">
        <v>364</v>
      </c>
    </row>
    <row r="10" spans="1:1">
      <c r="A10" s="60" t="s">
        <v>365</v>
      </c>
    </row>
    <row r="11" spans="1:1">
      <c r="A11" s="91" t="s">
        <v>366</v>
      </c>
    </row>
    <row r="12" spans="1:1">
      <c r="A12" s="59" t="s">
        <v>367</v>
      </c>
    </row>
    <row r="13" spans="1:1">
      <c r="A13" s="59" t="s">
        <v>368</v>
      </c>
    </row>
    <row r="14" spans="1:1">
      <c r="A14" s="59" t="s">
        <v>369</v>
      </c>
    </row>
    <row r="15" spans="1:1">
      <c r="A15" s="59" t="s">
        <v>370</v>
      </c>
    </row>
    <row r="16" spans="1:1">
      <c r="A16" s="59" t="s">
        <v>371</v>
      </c>
    </row>
    <row r="17" spans="1:1">
      <c r="A17" s="59" t="s">
        <v>372</v>
      </c>
    </row>
    <row r="18" spans="1:1">
      <c r="A18" s="59" t="s">
        <v>373</v>
      </c>
    </row>
    <row r="19" spans="1:1">
      <c r="A19" s="59" t="s">
        <v>374</v>
      </c>
    </row>
    <row r="20" spans="1:1">
      <c r="A20" s="94" t="s">
        <v>57</v>
      </c>
    </row>
    <row r="21" spans="1:1">
      <c r="A21" s="92" t="s">
        <v>58</v>
      </c>
    </row>
    <row r="22" spans="1:1">
      <c r="A22" s="59" t="s">
        <v>59</v>
      </c>
    </row>
    <row r="23" spans="1:1">
      <c r="A23" s="59" t="s">
        <v>60</v>
      </c>
    </row>
    <row r="24" spans="1:1">
      <c r="A24" s="59" t="s">
        <v>61</v>
      </c>
    </row>
    <row r="25" spans="1:1">
      <c r="A25" s="98" t="s">
        <v>62</v>
      </c>
    </row>
    <row r="26" spans="1:1">
      <c r="A26" s="67" t="s">
        <v>63</v>
      </c>
    </row>
    <row r="27" spans="1:1">
      <c r="A27" s="67" t="s">
        <v>64</v>
      </c>
    </row>
    <row r="28" spans="1:1">
      <c r="A28" s="67" t="s">
        <v>65</v>
      </c>
    </row>
    <row r="29" spans="1:1">
      <c r="A29" s="67" t="s">
        <v>515</v>
      </c>
    </row>
    <row r="30" spans="1:1">
      <c r="A30" s="95" t="s">
        <v>104</v>
      </c>
    </row>
    <row r="31" spans="1:1">
      <c r="A31" s="59" t="s">
        <v>75</v>
      </c>
    </row>
    <row r="32" spans="1:1">
      <c r="A32" s="59" t="s">
        <v>76</v>
      </c>
    </row>
    <row r="33" spans="1:1">
      <c r="A33" s="59" t="s">
        <v>77</v>
      </c>
    </row>
    <row r="34" spans="1:1">
      <c r="A34" s="59" t="s">
        <v>78</v>
      </c>
    </row>
    <row r="35" spans="1:1">
      <c r="A35" s="59" t="s">
        <v>79</v>
      </c>
    </row>
    <row r="36" spans="1:1">
      <c r="A36" s="59" t="s">
        <v>80</v>
      </c>
    </row>
    <row r="37" spans="1:1">
      <c r="A37" s="59" t="s">
        <v>81</v>
      </c>
    </row>
    <row r="38" spans="1:1">
      <c r="A38" s="59" t="s">
        <v>82</v>
      </c>
    </row>
    <row r="39" spans="1:1">
      <c r="A39" s="71" t="s">
        <v>106</v>
      </c>
    </row>
    <row r="40" spans="1:1">
      <c r="A40" s="71" t="s">
        <v>107</v>
      </c>
    </row>
    <row r="41" spans="1:1">
      <c r="A41" s="71" t="s">
        <v>108</v>
      </c>
    </row>
    <row r="42" spans="1:1">
      <c r="A42" s="71" t="s">
        <v>109</v>
      </c>
    </row>
    <row r="43" spans="1:1">
      <c r="A43" s="71" t="s">
        <v>110</v>
      </c>
    </row>
    <row r="44" spans="1:1">
      <c r="A44" s="71" t="s">
        <v>111</v>
      </c>
    </row>
    <row r="45" spans="1:1">
      <c r="A45" s="71" t="s">
        <v>112</v>
      </c>
    </row>
    <row r="46" spans="1:1">
      <c r="A46" s="71" t="s">
        <v>113</v>
      </c>
    </row>
    <row r="47" spans="1:1">
      <c r="A47" s="71" t="s">
        <v>114</v>
      </c>
    </row>
    <row r="48" spans="1:1">
      <c r="A48" s="71" t="s">
        <v>115</v>
      </c>
    </row>
    <row r="49" spans="1:1">
      <c r="A49" s="93" t="s">
        <v>498</v>
      </c>
    </row>
    <row r="50" spans="1:1">
      <c r="A50" s="6" t="s">
        <v>499</v>
      </c>
    </row>
    <row r="51" spans="1:1">
      <c r="A51" s="6" t="s">
        <v>500</v>
      </c>
    </row>
    <row r="52" spans="1:1">
      <c r="A52" s="6" t="s">
        <v>501</v>
      </c>
    </row>
    <row r="53" spans="1:1">
      <c r="A53" s="6" t="s">
        <v>502</v>
      </c>
    </row>
    <row r="54" spans="1:1">
      <c r="A54" s="25" t="s">
        <v>503</v>
      </c>
    </row>
    <row r="55" spans="1:1">
      <c r="A55" s="10" t="s">
        <v>504</v>
      </c>
    </row>
    <row r="56" spans="1:1">
      <c r="A56" s="6" t="s">
        <v>505</v>
      </c>
    </row>
    <row r="57" spans="1:1">
      <c r="A57" s="6" t="s">
        <v>506</v>
      </c>
    </row>
    <row r="58" spans="1:1">
      <c r="A58" s="6" t="s">
        <v>507</v>
      </c>
    </row>
    <row r="59" spans="1:1">
      <c r="A59" s="93" t="s">
        <v>508</v>
      </c>
    </row>
    <row r="60" spans="1:1">
      <c r="A60" s="96" t="s">
        <v>344</v>
      </c>
    </row>
    <row r="61" spans="1:1">
      <c r="A61" s="5" t="s">
        <v>345</v>
      </c>
    </row>
    <row r="62" spans="1:1">
      <c r="A62" s="5" t="s">
        <v>346</v>
      </c>
    </row>
    <row r="63" spans="1:1">
      <c r="A63" s="5" t="s">
        <v>347</v>
      </c>
    </row>
    <row r="64" spans="1:1">
      <c r="A64" s="14" t="s">
        <v>348</v>
      </c>
    </row>
    <row r="65" spans="1:1">
      <c r="A65" s="13" t="s">
        <v>349</v>
      </c>
    </row>
    <row r="66" spans="1:1">
      <c r="A66" s="5" t="s">
        <v>350</v>
      </c>
    </row>
    <row r="67" spans="1:1">
      <c r="A67" s="5" t="s">
        <v>351</v>
      </c>
    </row>
    <row r="68" spans="1:1">
      <c r="A68" s="5" t="s">
        <v>352</v>
      </c>
    </row>
    <row r="69" spans="1:1">
      <c r="A69" s="5" t="s">
        <v>353</v>
      </c>
    </row>
    <row r="70" spans="1:1">
      <c r="A70" s="5" t="s">
        <v>354</v>
      </c>
    </row>
    <row r="71" spans="1:1">
      <c r="A71" s="5" t="s">
        <v>355</v>
      </c>
    </row>
    <row r="72" spans="1:1">
      <c r="A72" s="92" t="s">
        <v>384</v>
      </c>
    </row>
    <row r="73" spans="1:1">
      <c r="A73" s="58" t="s">
        <v>383</v>
      </c>
    </row>
    <row r="74" spans="1:1">
      <c r="A74" s="59" t="s">
        <v>381</v>
      </c>
    </row>
    <row r="75" spans="1:1">
      <c r="A75" s="59" t="s">
        <v>382</v>
      </c>
    </row>
    <row r="76" spans="1:1">
      <c r="A76" s="6" t="s">
        <v>491</v>
      </c>
    </row>
    <row r="77" spans="1:1">
      <c r="A77" s="5" t="s">
        <v>494</v>
      </c>
    </row>
    <row r="78" spans="1:1">
      <c r="A78" s="5" t="s">
        <v>497</v>
      </c>
    </row>
    <row r="79" spans="1:1">
      <c r="A79" s="5" t="s">
        <v>496</v>
      </c>
    </row>
    <row r="80" spans="1:1">
      <c r="A80" s="5" t="s">
        <v>495</v>
      </c>
    </row>
    <row r="81" spans="1:1">
      <c r="A81" s="6" t="s">
        <v>513</v>
      </c>
    </row>
    <row r="82" spans="1:1">
      <c r="A82" s="6" t="s">
        <v>514</v>
      </c>
    </row>
    <row r="83" spans="1:1">
      <c r="A83" s="6" t="s">
        <v>512</v>
      </c>
    </row>
    <row r="84" spans="1:1">
      <c r="A84" s="6" t="s">
        <v>511</v>
      </c>
    </row>
    <row r="85" spans="1:1">
      <c r="A85" s="6" t="s">
        <v>510</v>
      </c>
    </row>
    <row r="86" spans="1:1">
      <c r="A86" s="6" t="s">
        <v>509</v>
      </c>
    </row>
    <row r="87" spans="1:1">
      <c r="A87" s="94" t="s">
        <v>210</v>
      </c>
    </row>
    <row r="88" spans="1:1">
      <c r="A88" s="20" t="s">
        <v>211</v>
      </c>
    </row>
    <row r="89" spans="1:1">
      <c r="A89" s="20" t="s">
        <v>212</v>
      </c>
    </row>
    <row r="90" spans="1:1">
      <c r="A90" s="20" t="s">
        <v>213</v>
      </c>
    </row>
    <row r="91" spans="1:1">
      <c r="A91" s="20" t="s">
        <v>214</v>
      </c>
    </row>
    <row r="92" spans="1:1">
      <c r="A92" s="20" t="s">
        <v>215</v>
      </c>
    </row>
    <row r="93" spans="1:1">
      <c r="A93" s="20" t="s">
        <v>216</v>
      </c>
    </row>
    <row r="94" spans="1:1">
      <c r="A94" s="20" t="s">
        <v>217</v>
      </c>
    </row>
    <row r="95" spans="1:1">
      <c r="A95" s="20" t="s">
        <v>218</v>
      </c>
    </row>
    <row r="96" spans="1:1">
      <c r="A96" s="20" t="s">
        <v>219</v>
      </c>
    </row>
    <row r="97" spans="1:1">
      <c r="A97" s="20" t="s">
        <v>220</v>
      </c>
    </row>
    <row r="98" spans="1:1">
      <c r="A98" s="20" t="s">
        <v>221</v>
      </c>
    </row>
    <row r="99" spans="1:1">
      <c r="A99" s="76" t="s">
        <v>222</v>
      </c>
    </row>
    <row r="100" spans="1:1">
      <c r="A100" s="59" t="s">
        <v>223</v>
      </c>
    </row>
    <row r="101" spans="1:1">
      <c r="A101" s="59" t="s">
        <v>380</v>
      </c>
    </row>
    <row r="102" spans="1:1">
      <c r="A102" s="59" t="s">
        <v>379</v>
      </c>
    </row>
    <row r="103" spans="1:1">
      <c r="A103" s="59" t="s">
        <v>378</v>
      </c>
    </row>
    <row r="104" spans="1:1">
      <c r="A104" s="71" t="s">
        <v>232</v>
      </c>
    </row>
    <row r="105" spans="1:1">
      <c r="A105" s="71" t="s">
        <v>233</v>
      </c>
    </row>
    <row r="106" spans="1:1">
      <c r="A106" s="71" t="s">
        <v>234</v>
      </c>
    </row>
    <row r="107" spans="1:1">
      <c r="A107" s="71" t="s">
        <v>235</v>
      </c>
    </row>
    <row r="108" spans="1:1">
      <c r="A108" s="71" t="s">
        <v>236</v>
      </c>
    </row>
    <row r="109" spans="1:1">
      <c r="A109" s="71" t="s">
        <v>237</v>
      </c>
    </row>
    <row r="110" spans="1:1">
      <c r="A110" s="97" t="s">
        <v>238</v>
      </c>
    </row>
    <row r="111" spans="1:1">
      <c r="A111" s="71" t="s">
        <v>239</v>
      </c>
    </row>
    <row r="112" spans="1:1">
      <c r="A112" s="71" t="s">
        <v>240</v>
      </c>
    </row>
    <row r="113" spans="1:1">
      <c r="A113" s="71" t="s">
        <v>241</v>
      </c>
    </row>
    <row r="114" spans="1:1">
      <c r="A114" s="71" t="s">
        <v>242</v>
      </c>
    </row>
    <row r="115" spans="1:1">
      <c r="A115" s="71" t="s">
        <v>243</v>
      </c>
    </row>
    <row r="116" spans="1:1">
      <c r="A116" s="71" t="s">
        <v>244</v>
      </c>
    </row>
    <row r="117" spans="1:1">
      <c r="A117" s="71" t="s">
        <v>245</v>
      </c>
    </row>
    <row r="118" spans="1:1">
      <c r="A118" s="71" t="s">
        <v>246</v>
      </c>
    </row>
    <row r="119" spans="1:1">
      <c r="A119" s="71" t="s">
        <v>247</v>
      </c>
    </row>
    <row r="120" spans="1:1">
      <c r="A120" s="99" t="s">
        <v>248</v>
      </c>
    </row>
    <row r="121" spans="1:1">
      <c r="A121" s="97" t="s">
        <v>249</v>
      </c>
    </row>
    <row r="122" spans="1:1">
      <c r="A122" s="71" t="s">
        <v>250</v>
      </c>
    </row>
    <row r="123" spans="1:1">
      <c r="A123" s="71" t="s">
        <v>251</v>
      </c>
    </row>
    <row r="124" spans="1:1">
      <c r="A124" s="71" t="s">
        <v>252</v>
      </c>
    </row>
    <row r="125" spans="1:1">
      <c r="A125" s="71" t="s">
        <v>253</v>
      </c>
    </row>
    <row r="126" spans="1:1">
      <c r="A126" s="71" t="s">
        <v>254</v>
      </c>
    </row>
    <row r="127" spans="1:1">
      <c r="A127" s="71" t="s">
        <v>255</v>
      </c>
    </row>
    <row r="128" spans="1:1" ht="18">
      <c r="A128" s="55" t="s">
        <v>443</v>
      </c>
    </row>
    <row r="129" spans="1:1" ht="19">
      <c r="A129" s="55" t="s">
        <v>444</v>
      </c>
    </row>
    <row r="130" spans="1:1" ht="18">
      <c r="A130" s="55" t="s">
        <v>445</v>
      </c>
    </row>
    <row r="131" spans="1:1" ht="18">
      <c r="A131" s="55" t="s">
        <v>446</v>
      </c>
    </row>
    <row r="132" spans="1:1" ht="18">
      <c r="A132" s="55" t="s">
        <v>447</v>
      </c>
    </row>
    <row r="133" spans="1:1" ht="18">
      <c r="A133" s="56" t="s">
        <v>448</v>
      </c>
    </row>
    <row r="134" spans="1:1" ht="18">
      <c r="A134" s="57" t="s">
        <v>449</v>
      </c>
    </row>
    <row r="135" spans="1:1" ht="18">
      <c r="A135" s="57" t="s">
        <v>450</v>
      </c>
    </row>
    <row r="136" spans="1:1" ht="18">
      <c r="A136" s="57" t="s">
        <v>451</v>
      </c>
    </row>
    <row r="137" spans="1:1" ht="18">
      <c r="A137" s="57" t="s">
        <v>452</v>
      </c>
    </row>
    <row r="138" spans="1:1" ht="18">
      <c r="A138" s="57" t="s">
        <v>453</v>
      </c>
    </row>
    <row r="139" spans="1:1">
      <c r="A139" s="71" t="s">
        <v>70</v>
      </c>
    </row>
    <row r="140" spans="1:1">
      <c r="A140" s="71" t="s">
        <v>71</v>
      </c>
    </row>
    <row r="141" spans="1:1">
      <c r="A141" s="71" t="s">
        <v>72</v>
      </c>
    </row>
    <row r="142" spans="1:1">
      <c r="A142" s="71" t="s">
        <v>73</v>
      </c>
    </row>
    <row r="143" spans="1:1">
      <c r="A143" s="71" t="s">
        <v>74</v>
      </c>
    </row>
    <row r="144" spans="1:1">
      <c r="A144" s="93" t="s">
        <v>475</v>
      </c>
    </row>
    <row r="145" spans="1:1">
      <c r="A145" s="93" t="s">
        <v>476</v>
      </c>
    </row>
    <row r="146" spans="1:1">
      <c r="A146" s="93" t="s">
        <v>477</v>
      </c>
    </row>
    <row r="147" spans="1:1">
      <c r="A147" s="93" t="s">
        <v>478</v>
      </c>
    </row>
    <row r="148" spans="1:1">
      <c r="A148" s="93" t="s">
        <v>479</v>
      </c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spans="1:1">
      <c r="A273"/>
    </row>
    <row r="274" spans="1:1">
      <c r="A274"/>
    </row>
    <row r="275" spans="1:1">
      <c r="A275"/>
    </row>
    <row r="276" spans="1:1">
      <c r="A27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C697-178C-F34D-9746-37532600BF2F}">
  <dimension ref="A1:A11"/>
  <sheetViews>
    <sheetView workbookViewId="0">
      <selection activeCell="A17" sqref="A17"/>
    </sheetView>
  </sheetViews>
  <sheetFormatPr baseColWidth="10" defaultRowHeight="16"/>
  <cols>
    <col min="1" max="1" width="25.5" customWidth="1"/>
  </cols>
  <sheetData>
    <row r="1" spans="1:1" ht="19">
      <c r="A1" s="28" t="s">
        <v>105</v>
      </c>
    </row>
    <row r="2" spans="1:1">
      <c r="A2" s="10" t="s">
        <v>483</v>
      </c>
    </row>
    <row r="3" spans="1:1">
      <c r="A3" s="10" t="s">
        <v>484</v>
      </c>
    </row>
    <row r="4" spans="1:1">
      <c r="A4" s="10" t="s">
        <v>485</v>
      </c>
    </row>
    <row r="5" spans="1:1">
      <c r="A5" s="75" t="s">
        <v>486</v>
      </c>
    </row>
    <row r="6" spans="1:1">
      <c r="A6" s="10" t="s">
        <v>487</v>
      </c>
    </row>
    <row r="7" spans="1:1">
      <c r="A7" s="10" t="s">
        <v>405</v>
      </c>
    </row>
    <row r="8" spans="1:1">
      <c r="A8" s="10" t="s">
        <v>482</v>
      </c>
    </row>
    <row r="9" spans="1:1">
      <c r="A9" s="10" t="s">
        <v>489</v>
      </c>
    </row>
    <row r="10" spans="1:1">
      <c r="A10" s="10" t="s">
        <v>488</v>
      </c>
    </row>
    <row r="11" spans="1:1">
      <c r="A11" s="8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3E79-0845-3641-8545-95D8A6348BF3}">
  <dimension ref="A1:L28"/>
  <sheetViews>
    <sheetView workbookViewId="0">
      <selection activeCell="I1" sqref="I1:L1048576"/>
    </sheetView>
  </sheetViews>
  <sheetFormatPr baseColWidth="10" defaultRowHeight="16"/>
  <cols>
    <col min="7" max="7" width="35.83203125" customWidth="1"/>
    <col min="8" max="8" width="16.5" customWidth="1"/>
  </cols>
  <sheetData>
    <row r="1" spans="1:12" s="28" customFormat="1" ht="19">
      <c r="A1" s="28" t="s">
        <v>481</v>
      </c>
      <c r="B1" s="28" t="s">
        <v>105</v>
      </c>
      <c r="C1" s="28" t="s">
        <v>275</v>
      </c>
      <c r="D1" s="28" t="s">
        <v>168</v>
      </c>
      <c r="E1" s="28" t="s">
        <v>274</v>
      </c>
      <c r="F1" s="28" t="s">
        <v>127</v>
      </c>
      <c r="G1" s="78" t="s">
        <v>516</v>
      </c>
      <c r="H1" s="28" t="s">
        <v>171</v>
      </c>
      <c r="I1" s="28" t="s">
        <v>84</v>
      </c>
      <c r="J1" s="28" t="s">
        <v>1</v>
      </c>
      <c r="K1" s="28" t="s">
        <v>12</v>
      </c>
      <c r="L1" s="28" t="s">
        <v>13</v>
      </c>
    </row>
    <row r="2" spans="1:12" s="29" customFormat="1">
      <c r="A2" s="68" t="s">
        <v>416</v>
      </c>
      <c r="B2" s="10" t="s">
        <v>405</v>
      </c>
      <c r="C2" s="10" t="s">
        <v>327</v>
      </c>
      <c r="D2" s="10" t="s">
        <v>170</v>
      </c>
      <c r="E2" s="10" t="s">
        <v>301</v>
      </c>
      <c r="F2" s="10" t="s">
        <v>167</v>
      </c>
      <c r="G2" s="61" t="s">
        <v>104</v>
      </c>
      <c r="H2" s="22" t="s">
        <v>172</v>
      </c>
      <c r="I2" s="29">
        <v>2.7E-2</v>
      </c>
      <c r="J2" s="48">
        <v>0.33700000000000002</v>
      </c>
      <c r="K2" s="48">
        <v>0.878</v>
      </c>
      <c r="L2" s="13">
        <v>0.86358170086251695</v>
      </c>
    </row>
    <row r="3" spans="1:12" s="30" customFormat="1">
      <c r="A3" s="69" t="s">
        <v>417</v>
      </c>
      <c r="B3" s="6" t="s">
        <v>405</v>
      </c>
      <c r="C3" s="6" t="s">
        <v>327</v>
      </c>
      <c r="D3" s="6" t="s">
        <v>170</v>
      </c>
      <c r="E3" s="6" t="s">
        <v>301</v>
      </c>
      <c r="F3" s="6" t="s">
        <v>167</v>
      </c>
      <c r="G3" s="62" t="s">
        <v>104</v>
      </c>
      <c r="H3" s="12" t="s">
        <v>172</v>
      </c>
      <c r="I3" s="30">
        <v>2.7E-2</v>
      </c>
      <c r="J3" s="49">
        <v>0.33700000000000002</v>
      </c>
      <c r="K3" s="49">
        <v>0.878</v>
      </c>
      <c r="L3" s="5">
        <v>0.86358170086251695</v>
      </c>
    </row>
    <row r="4" spans="1:12" s="30" customFormat="1">
      <c r="A4" s="69" t="s">
        <v>418</v>
      </c>
      <c r="B4" s="6" t="s">
        <v>405</v>
      </c>
      <c r="C4" s="6" t="s">
        <v>327</v>
      </c>
      <c r="D4" s="6" t="s">
        <v>170</v>
      </c>
      <c r="E4" s="6" t="s">
        <v>301</v>
      </c>
      <c r="F4" s="6" t="s">
        <v>167</v>
      </c>
      <c r="G4" s="62" t="s">
        <v>104</v>
      </c>
      <c r="H4" s="12" t="s">
        <v>172</v>
      </c>
      <c r="I4" s="30">
        <v>2.7E-2</v>
      </c>
      <c r="J4" s="49">
        <v>0.33700000000000002</v>
      </c>
      <c r="K4" s="49">
        <v>0.878</v>
      </c>
      <c r="L4" s="5">
        <v>0.86358170086251695</v>
      </c>
    </row>
    <row r="5" spans="1:12" s="5" customFormat="1">
      <c r="A5" s="69" t="s">
        <v>419</v>
      </c>
      <c r="B5" s="6" t="s">
        <v>405</v>
      </c>
      <c r="C5" s="6" t="s">
        <v>397</v>
      </c>
      <c r="D5" s="6" t="s">
        <v>170</v>
      </c>
      <c r="E5" s="6" t="s">
        <v>301</v>
      </c>
      <c r="F5" s="6" t="s">
        <v>167</v>
      </c>
      <c r="G5" s="59" t="s">
        <v>75</v>
      </c>
      <c r="H5" s="12" t="s">
        <v>172</v>
      </c>
      <c r="I5" s="5">
        <v>4.3999999999999997E-2</v>
      </c>
      <c r="J5" s="49">
        <v>0.52300000000000002</v>
      </c>
      <c r="K5" s="49">
        <v>1.458</v>
      </c>
      <c r="L5" s="5">
        <v>1.4368262739973601</v>
      </c>
    </row>
    <row r="6" spans="1:12" s="5" customFormat="1">
      <c r="A6" s="69" t="s">
        <v>420</v>
      </c>
      <c r="B6" s="6" t="s">
        <v>405</v>
      </c>
      <c r="C6" s="6" t="s">
        <v>397</v>
      </c>
      <c r="D6" s="6" t="s">
        <v>170</v>
      </c>
      <c r="E6" s="6" t="s">
        <v>301</v>
      </c>
      <c r="F6" s="6" t="s">
        <v>167</v>
      </c>
      <c r="G6" s="59" t="s">
        <v>75</v>
      </c>
      <c r="H6" s="12" t="s">
        <v>172</v>
      </c>
      <c r="I6" s="5">
        <v>4.3999999999999997E-2</v>
      </c>
      <c r="J6" s="49">
        <v>0.52300000000000002</v>
      </c>
      <c r="K6" s="49">
        <v>1.458</v>
      </c>
      <c r="L6" s="5">
        <v>1.4368262739973601</v>
      </c>
    </row>
    <row r="7" spans="1:12" s="5" customFormat="1">
      <c r="A7" s="69" t="s">
        <v>421</v>
      </c>
      <c r="B7" s="6" t="s">
        <v>405</v>
      </c>
      <c r="C7" s="6" t="s">
        <v>397</v>
      </c>
      <c r="D7" s="6" t="s">
        <v>170</v>
      </c>
      <c r="E7" s="6" t="s">
        <v>301</v>
      </c>
      <c r="F7" s="6" t="s">
        <v>167</v>
      </c>
      <c r="G7" s="59" t="s">
        <v>75</v>
      </c>
      <c r="H7" s="12" t="s">
        <v>172</v>
      </c>
      <c r="I7" s="5">
        <v>4.3999999999999997E-2</v>
      </c>
      <c r="J7" s="49">
        <v>0.52300000000000002</v>
      </c>
      <c r="K7" s="49">
        <v>1.458</v>
      </c>
      <c r="L7" s="5">
        <v>1.4368262739973601</v>
      </c>
    </row>
    <row r="8" spans="1:12" s="5" customFormat="1">
      <c r="A8" s="69" t="s">
        <v>422</v>
      </c>
      <c r="B8" s="6" t="s">
        <v>405</v>
      </c>
      <c r="C8" s="6" t="s">
        <v>398</v>
      </c>
      <c r="D8" s="6" t="s">
        <v>170</v>
      </c>
      <c r="E8" s="6" t="s">
        <v>301</v>
      </c>
      <c r="F8" s="6" t="s">
        <v>167</v>
      </c>
      <c r="G8" s="59" t="s">
        <v>76</v>
      </c>
      <c r="H8" s="12" t="s">
        <v>172</v>
      </c>
      <c r="I8" s="5">
        <v>0.10199999999999999</v>
      </c>
      <c r="J8" s="49">
        <v>1.171</v>
      </c>
      <c r="K8" s="49">
        <v>2.5470000000000002</v>
      </c>
      <c r="L8" s="5">
        <v>2.4905493340587901</v>
      </c>
    </row>
    <row r="9" spans="1:12" s="5" customFormat="1">
      <c r="A9" s="69" t="s">
        <v>423</v>
      </c>
      <c r="B9" s="6" t="s">
        <v>405</v>
      </c>
      <c r="C9" s="6" t="s">
        <v>398</v>
      </c>
      <c r="D9" s="6" t="s">
        <v>170</v>
      </c>
      <c r="E9" s="6" t="s">
        <v>301</v>
      </c>
      <c r="F9" s="6" t="s">
        <v>167</v>
      </c>
      <c r="G9" s="59" t="s">
        <v>76</v>
      </c>
      <c r="H9" s="12" t="s">
        <v>172</v>
      </c>
      <c r="I9" s="5">
        <v>0.10199999999999999</v>
      </c>
      <c r="J9" s="49">
        <v>1.171</v>
      </c>
      <c r="K9" s="49">
        <v>2.5470000000000002</v>
      </c>
      <c r="L9" s="5">
        <v>2.4905493340587901</v>
      </c>
    </row>
    <row r="10" spans="1:12" s="5" customFormat="1">
      <c r="A10" s="69" t="s">
        <v>424</v>
      </c>
      <c r="B10" s="6" t="s">
        <v>405</v>
      </c>
      <c r="C10" s="6" t="s">
        <v>398</v>
      </c>
      <c r="D10" s="6" t="s">
        <v>170</v>
      </c>
      <c r="E10" s="6" t="s">
        <v>301</v>
      </c>
      <c r="F10" s="6" t="s">
        <v>167</v>
      </c>
      <c r="G10" s="59" t="s">
        <v>76</v>
      </c>
      <c r="H10" s="12" t="s">
        <v>172</v>
      </c>
      <c r="I10" s="5">
        <v>0.10199999999999999</v>
      </c>
      <c r="J10" s="49">
        <v>1.171</v>
      </c>
      <c r="K10" s="49">
        <v>2.5470000000000002</v>
      </c>
      <c r="L10" s="5">
        <v>2.4905493340587901</v>
      </c>
    </row>
    <row r="11" spans="1:12" s="5" customFormat="1">
      <c r="A11" s="69" t="s">
        <v>425</v>
      </c>
      <c r="B11" s="6" t="s">
        <v>405</v>
      </c>
      <c r="C11" s="6" t="s">
        <v>399</v>
      </c>
      <c r="D11" s="6" t="s">
        <v>170</v>
      </c>
      <c r="E11" s="6" t="s">
        <v>301</v>
      </c>
      <c r="F11" s="6" t="s">
        <v>167</v>
      </c>
      <c r="G11" s="59" t="s">
        <v>77</v>
      </c>
      <c r="H11" s="12" t="s">
        <v>172</v>
      </c>
      <c r="I11" s="5">
        <v>0.152</v>
      </c>
      <c r="J11" s="49">
        <v>1.6830000000000001</v>
      </c>
      <c r="K11" s="49">
        <v>3.81518914277475</v>
      </c>
      <c r="L11" s="5">
        <v>3.855</v>
      </c>
    </row>
    <row r="12" spans="1:12" s="5" customFormat="1">
      <c r="A12" s="69" t="s">
        <v>426</v>
      </c>
      <c r="B12" s="6" t="s">
        <v>405</v>
      </c>
      <c r="C12" s="6" t="s">
        <v>399</v>
      </c>
      <c r="D12" s="6" t="s">
        <v>170</v>
      </c>
      <c r="E12" s="6" t="s">
        <v>301</v>
      </c>
      <c r="F12" s="6" t="s">
        <v>167</v>
      </c>
      <c r="G12" s="59" t="s">
        <v>77</v>
      </c>
      <c r="H12" s="12" t="s">
        <v>172</v>
      </c>
      <c r="I12" s="5">
        <v>0.152</v>
      </c>
      <c r="J12" s="49">
        <v>1.6830000000000001</v>
      </c>
      <c r="K12" s="49">
        <v>3.81518914277475</v>
      </c>
      <c r="L12" s="5">
        <v>3.855</v>
      </c>
    </row>
    <row r="13" spans="1:12" s="5" customFormat="1">
      <c r="A13" s="69" t="s">
        <v>427</v>
      </c>
      <c r="B13" s="6" t="s">
        <v>405</v>
      </c>
      <c r="C13" s="6" t="s">
        <v>399</v>
      </c>
      <c r="D13" s="6" t="s">
        <v>170</v>
      </c>
      <c r="E13" s="6" t="s">
        <v>301</v>
      </c>
      <c r="F13" s="6" t="s">
        <v>167</v>
      </c>
      <c r="G13" s="59" t="s">
        <v>77</v>
      </c>
      <c r="H13" s="12" t="s">
        <v>172</v>
      </c>
      <c r="I13" s="5">
        <v>0.152</v>
      </c>
      <c r="J13" s="49">
        <v>1.6830000000000001</v>
      </c>
      <c r="K13" s="49">
        <v>3.81518914277475</v>
      </c>
      <c r="L13" s="5">
        <v>3.855</v>
      </c>
    </row>
    <row r="14" spans="1:12" s="5" customFormat="1">
      <c r="A14" s="69" t="s">
        <v>428</v>
      </c>
      <c r="B14" s="6" t="s">
        <v>405</v>
      </c>
      <c r="C14" s="6" t="s">
        <v>400</v>
      </c>
      <c r="D14" s="6" t="s">
        <v>170</v>
      </c>
      <c r="E14" s="6" t="s">
        <v>301</v>
      </c>
      <c r="F14" s="6" t="s">
        <v>167</v>
      </c>
      <c r="G14" s="59" t="s">
        <v>78</v>
      </c>
      <c r="H14" s="12" t="s">
        <v>172</v>
      </c>
      <c r="I14" s="5">
        <v>0.214</v>
      </c>
      <c r="J14" s="49">
        <v>2.4769999999999999</v>
      </c>
      <c r="K14" s="49">
        <v>5.5949999999999998</v>
      </c>
      <c r="L14" s="5">
        <v>5.4782042149448502</v>
      </c>
    </row>
    <row r="15" spans="1:12" s="5" customFormat="1">
      <c r="A15" s="69" t="s">
        <v>429</v>
      </c>
      <c r="B15" s="6" t="s">
        <v>405</v>
      </c>
      <c r="C15" s="6" t="s">
        <v>400</v>
      </c>
      <c r="D15" s="6" t="s">
        <v>170</v>
      </c>
      <c r="E15" s="6" t="s">
        <v>301</v>
      </c>
      <c r="F15" s="6" t="s">
        <v>167</v>
      </c>
      <c r="G15" s="59" t="s">
        <v>78</v>
      </c>
      <c r="H15" s="12" t="s">
        <v>172</v>
      </c>
      <c r="I15" s="5">
        <v>0.214</v>
      </c>
      <c r="J15" s="49">
        <v>2.4769999999999999</v>
      </c>
      <c r="K15" s="49">
        <v>5.5949999999999998</v>
      </c>
      <c r="L15" s="5">
        <v>5.4782042149448502</v>
      </c>
    </row>
    <row r="16" spans="1:12" s="5" customFormat="1">
      <c r="A16" s="69" t="s">
        <v>430</v>
      </c>
      <c r="B16" s="6" t="s">
        <v>405</v>
      </c>
      <c r="C16" s="6" t="s">
        <v>400</v>
      </c>
      <c r="D16" s="6" t="s">
        <v>170</v>
      </c>
      <c r="E16" s="6" t="s">
        <v>301</v>
      </c>
      <c r="F16" s="6" t="s">
        <v>167</v>
      </c>
      <c r="G16" s="59" t="s">
        <v>78</v>
      </c>
      <c r="H16" s="12" t="s">
        <v>172</v>
      </c>
      <c r="I16" s="5">
        <v>0.214</v>
      </c>
      <c r="J16" s="49">
        <v>2.4769999999999999</v>
      </c>
      <c r="K16" s="49">
        <v>5.5949999999999998</v>
      </c>
      <c r="L16" s="5">
        <v>5.4782042149448502</v>
      </c>
    </row>
    <row r="17" spans="1:12" s="5" customFormat="1">
      <c r="A17" s="69" t="s">
        <v>431</v>
      </c>
      <c r="B17" s="6" t="s">
        <v>405</v>
      </c>
      <c r="C17" s="6" t="s">
        <v>401</v>
      </c>
      <c r="D17" s="6" t="s">
        <v>170</v>
      </c>
      <c r="E17" s="6" t="s">
        <v>301</v>
      </c>
      <c r="F17" s="6" t="s">
        <v>167</v>
      </c>
      <c r="G17" s="59" t="s">
        <v>79</v>
      </c>
      <c r="H17" s="12" t="s">
        <v>172</v>
      </c>
      <c r="I17" s="5">
        <v>0.254</v>
      </c>
      <c r="J17" s="49">
        <v>2.8620000000000001</v>
      </c>
      <c r="K17" s="49">
        <v>6.484</v>
      </c>
      <c r="L17" s="5">
        <v>6.2489999999999997</v>
      </c>
    </row>
    <row r="18" spans="1:12" s="5" customFormat="1">
      <c r="A18" s="69" t="s">
        <v>432</v>
      </c>
      <c r="B18" s="6" t="s">
        <v>405</v>
      </c>
      <c r="C18" s="6" t="s">
        <v>401</v>
      </c>
      <c r="D18" s="6" t="s">
        <v>170</v>
      </c>
      <c r="E18" s="6" t="s">
        <v>301</v>
      </c>
      <c r="F18" s="6" t="s">
        <v>167</v>
      </c>
      <c r="G18" s="59" t="s">
        <v>79</v>
      </c>
      <c r="H18" s="12" t="s">
        <v>172</v>
      </c>
      <c r="I18" s="5">
        <v>0.254</v>
      </c>
      <c r="J18" s="49">
        <v>2.8620000000000001</v>
      </c>
      <c r="K18" s="49">
        <v>6.484</v>
      </c>
      <c r="L18" s="5">
        <v>6.2489999999999997</v>
      </c>
    </row>
    <row r="19" spans="1:12" s="5" customFormat="1">
      <c r="A19" s="69" t="s">
        <v>433</v>
      </c>
      <c r="B19" s="6" t="s">
        <v>405</v>
      </c>
      <c r="C19" s="6" t="s">
        <v>401</v>
      </c>
      <c r="D19" s="6" t="s">
        <v>170</v>
      </c>
      <c r="E19" s="6" t="s">
        <v>301</v>
      </c>
      <c r="F19" s="6" t="s">
        <v>167</v>
      </c>
      <c r="G19" s="59" t="s">
        <v>79</v>
      </c>
      <c r="H19" s="12" t="s">
        <v>172</v>
      </c>
      <c r="I19" s="5">
        <v>0.254</v>
      </c>
      <c r="J19" s="49">
        <v>2.8620000000000001</v>
      </c>
      <c r="K19" s="49">
        <v>6.484</v>
      </c>
      <c r="L19" s="5">
        <v>6.2489999999999997</v>
      </c>
    </row>
    <row r="20" spans="1:12" s="5" customFormat="1">
      <c r="A20" s="69" t="s">
        <v>434</v>
      </c>
      <c r="B20" s="6" t="s">
        <v>405</v>
      </c>
      <c r="C20" s="6" t="s">
        <v>402</v>
      </c>
      <c r="D20" s="6" t="s">
        <v>170</v>
      </c>
      <c r="E20" s="6" t="s">
        <v>301</v>
      </c>
      <c r="F20" s="6" t="s">
        <v>167</v>
      </c>
      <c r="G20" s="59" t="s">
        <v>80</v>
      </c>
      <c r="H20" s="12" t="s">
        <v>172</v>
      </c>
      <c r="I20" s="5">
        <v>0.28399999999999997</v>
      </c>
      <c r="J20" s="49">
        <v>3.2050000000000001</v>
      </c>
      <c r="K20" s="49">
        <v>8.0890000000000004</v>
      </c>
      <c r="L20" s="5">
        <v>7.9485854277214001</v>
      </c>
    </row>
    <row r="21" spans="1:12" s="5" customFormat="1">
      <c r="A21" s="69" t="s">
        <v>435</v>
      </c>
      <c r="B21" s="6" t="s">
        <v>405</v>
      </c>
      <c r="C21" s="6" t="s">
        <v>402</v>
      </c>
      <c r="D21" s="6" t="s">
        <v>170</v>
      </c>
      <c r="E21" s="6" t="s">
        <v>301</v>
      </c>
      <c r="F21" s="6" t="s">
        <v>167</v>
      </c>
      <c r="G21" s="59" t="s">
        <v>80</v>
      </c>
      <c r="H21" s="12" t="s">
        <v>172</v>
      </c>
      <c r="I21" s="5">
        <v>0.28399999999999997</v>
      </c>
      <c r="J21" s="49">
        <v>3.2050000000000001</v>
      </c>
      <c r="K21" s="49">
        <v>8.0890000000000004</v>
      </c>
      <c r="L21" s="5">
        <v>7.9485854277214001</v>
      </c>
    </row>
    <row r="22" spans="1:12" s="5" customFormat="1">
      <c r="A22" s="69" t="s">
        <v>436</v>
      </c>
      <c r="B22" s="6" t="s">
        <v>405</v>
      </c>
      <c r="C22" s="6" t="s">
        <v>402</v>
      </c>
      <c r="D22" s="6" t="s">
        <v>170</v>
      </c>
      <c r="E22" s="6" t="s">
        <v>301</v>
      </c>
      <c r="F22" s="6" t="s">
        <v>167</v>
      </c>
      <c r="G22" s="59" t="s">
        <v>80</v>
      </c>
      <c r="H22" s="12" t="s">
        <v>172</v>
      </c>
      <c r="I22" s="5">
        <v>0.28399999999999997</v>
      </c>
      <c r="J22" s="49">
        <v>3.2050000000000001</v>
      </c>
      <c r="K22" s="49">
        <v>8.0890000000000004</v>
      </c>
      <c r="L22" s="5">
        <v>7.9485854277214001</v>
      </c>
    </row>
    <row r="23" spans="1:12" s="5" customFormat="1">
      <c r="A23" s="69" t="s">
        <v>437</v>
      </c>
      <c r="B23" s="6" t="s">
        <v>405</v>
      </c>
      <c r="C23" s="6" t="s">
        <v>403</v>
      </c>
      <c r="D23" s="6" t="s">
        <v>170</v>
      </c>
      <c r="E23" s="6" t="s">
        <v>301</v>
      </c>
      <c r="F23" s="6" t="s">
        <v>167</v>
      </c>
      <c r="G23" s="59" t="s">
        <v>81</v>
      </c>
      <c r="H23" s="12" t="s">
        <v>172</v>
      </c>
      <c r="I23" s="5">
        <v>0.33400000000000002</v>
      </c>
      <c r="J23" s="49">
        <v>5.2350000000000003</v>
      </c>
      <c r="K23" s="49">
        <v>11.872999999999999</v>
      </c>
      <c r="L23" s="5">
        <v>9.6077296533960403</v>
      </c>
    </row>
    <row r="24" spans="1:12" s="5" customFormat="1">
      <c r="A24" s="69" t="s">
        <v>438</v>
      </c>
      <c r="B24" s="6" t="s">
        <v>405</v>
      </c>
      <c r="C24" s="6" t="s">
        <v>403</v>
      </c>
      <c r="D24" s="6" t="s">
        <v>170</v>
      </c>
      <c r="E24" s="6" t="s">
        <v>301</v>
      </c>
      <c r="F24" s="6" t="s">
        <v>167</v>
      </c>
      <c r="G24" s="59" t="s">
        <v>81</v>
      </c>
      <c r="H24" s="12" t="s">
        <v>172</v>
      </c>
      <c r="I24" s="5">
        <v>0.33400000000000002</v>
      </c>
      <c r="J24" s="49">
        <v>5.2350000000000003</v>
      </c>
      <c r="K24" s="49">
        <v>11.872999999999999</v>
      </c>
      <c r="L24" s="5">
        <v>9.6077296533960403</v>
      </c>
    </row>
    <row r="25" spans="1:12" s="5" customFormat="1">
      <c r="A25" s="69" t="s">
        <v>439</v>
      </c>
      <c r="B25" s="6" t="s">
        <v>405</v>
      </c>
      <c r="C25" s="6" t="s">
        <v>403</v>
      </c>
      <c r="D25" s="6" t="s">
        <v>170</v>
      </c>
      <c r="E25" s="6" t="s">
        <v>301</v>
      </c>
      <c r="F25" s="6" t="s">
        <v>167</v>
      </c>
      <c r="G25" s="59" t="s">
        <v>81</v>
      </c>
      <c r="H25" s="12" t="s">
        <v>172</v>
      </c>
      <c r="I25" s="5">
        <v>0.33400000000000002</v>
      </c>
      <c r="J25" s="49">
        <v>5.2350000000000003</v>
      </c>
      <c r="K25" s="49">
        <v>11.872999999999999</v>
      </c>
      <c r="L25" s="5">
        <v>9.6077296533960403</v>
      </c>
    </row>
    <row r="26" spans="1:12" s="5" customFormat="1">
      <c r="A26" s="69" t="s">
        <v>440</v>
      </c>
      <c r="B26" s="6" t="s">
        <v>405</v>
      </c>
      <c r="C26" s="6" t="s">
        <v>404</v>
      </c>
      <c r="D26" s="6" t="s">
        <v>170</v>
      </c>
      <c r="E26" s="6" t="s">
        <v>301</v>
      </c>
      <c r="F26" s="6" t="s">
        <v>167</v>
      </c>
      <c r="G26" s="59" t="s">
        <v>82</v>
      </c>
      <c r="H26" s="12" t="s">
        <v>172</v>
      </c>
      <c r="I26" s="5">
        <v>0.379</v>
      </c>
      <c r="J26" s="49">
        <v>6.9569999999999999</v>
      </c>
      <c r="K26" s="49">
        <v>14.304133448972699</v>
      </c>
      <c r="L26" s="5">
        <v>8.8979999999999997</v>
      </c>
    </row>
    <row r="27" spans="1:12" s="5" customFormat="1">
      <c r="A27" s="69" t="s">
        <v>441</v>
      </c>
      <c r="B27" s="6" t="s">
        <v>405</v>
      </c>
      <c r="C27" s="6" t="s">
        <v>404</v>
      </c>
      <c r="D27" s="6" t="s">
        <v>170</v>
      </c>
      <c r="E27" s="6" t="s">
        <v>301</v>
      </c>
      <c r="F27" s="6" t="s">
        <v>167</v>
      </c>
      <c r="G27" s="59" t="s">
        <v>82</v>
      </c>
      <c r="H27" s="12" t="s">
        <v>172</v>
      </c>
      <c r="I27" s="5">
        <v>0.379</v>
      </c>
      <c r="J27" s="49">
        <v>6.9569999999999999</v>
      </c>
      <c r="K27" s="49">
        <v>14.304133448972699</v>
      </c>
      <c r="L27" s="5">
        <v>8.8979999999999997</v>
      </c>
    </row>
    <row r="28" spans="1:12" s="14" customFormat="1">
      <c r="A28" s="70" t="s">
        <v>442</v>
      </c>
      <c r="B28" s="11" t="s">
        <v>405</v>
      </c>
      <c r="C28" s="11" t="s">
        <v>404</v>
      </c>
      <c r="D28" s="11" t="s">
        <v>170</v>
      </c>
      <c r="E28" s="11" t="s">
        <v>301</v>
      </c>
      <c r="F28" s="11" t="s">
        <v>167</v>
      </c>
      <c r="G28" s="60" t="s">
        <v>82</v>
      </c>
      <c r="H28" s="23" t="s">
        <v>172</v>
      </c>
      <c r="I28" s="14">
        <v>0.379</v>
      </c>
      <c r="J28" s="50">
        <v>6.9569999999999999</v>
      </c>
      <c r="K28" s="50">
        <v>14.304133448972699</v>
      </c>
      <c r="L28" s="14">
        <v>8.8979999999999997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CDE12-2CCB-1F4B-AA82-4D0D38BE0B4E}">
  <dimension ref="A1:B27"/>
  <sheetViews>
    <sheetView workbookViewId="0">
      <selection activeCell="B1" sqref="B1:B27"/>
    </sheetView>
  </sheetViews>
  <sheetFormatPr baseColWidth="10" defaultRowHeight="16"/>
  <sheetData>
    <row r="1" spans="1:2">
      <c r="A1" s="48">
        <v>-0.33700000000000002</v>
      </c>
      <c r="B1">
        <f>A1*(-1)</f>
        <v>0.33700000000000002</v>
      </c>
    </row>
    <row r="2" spans="1:2">
      <c r="A2" s="49">
        <v>-0.33700000000000002</v>
      </c>
      <c r="B2">
        <f t="shared" ref="B2:B27" si="0">A2*(-1)</f>
        <v>0.33700000000000002</v>
      </c>
    </row>
    <row r="3" spans="1:2">
      <c r="A3" s="49">
        <v>-0.33700000000000002</v>
      </c>
      <c r="B3">
        <f t="shared" si="0"/>
        <v>0.33700000000000002</v>
      </c>
    </row>
    <row r="4" spans="1:2">
      <c r="A4" s="49">
        <v>-0.52300000000000002</v>
      </c>
      <c r="B4">
        <f t="shared" si="0"/>
        <v>0.52300000000000002</v>
      </c>
    </row>
    <row r="5" spans="1:2">
      <c r="A5" s="49">
        <v>-0.52300000000000002</v>
      </c>
      <c r="B5">
        <f t="shared" si="0"/>
        <v>0.52300000000000002</v>
      </c>
    </row>
    <row r="6" spans="1:2">
      <c r="A6" s="49">
        <v>-0.52300000000000002</v>
      </c>
      <c r="B6">
        <f t="shared" si="0"/>
        <v>0.52300000000000002</v>
      </c>
    </row>
    <row r="7" spans="1:2">
      <c r="A7" s="49">
        <v>-1.171</v>
      </c>
      <c r="B7">
        <f t="shared" si="0"/>
        <v>1.171</v>
      </c>
    </row>
    <row r="8" spans="1:2">
      <c r="A8" s="49">
        <v>-1.171</v>
      </c>
      <c r="B8">
        <f t="shared" si="0"/>
        <v>1.171</v>
      </c>
    </row>
    <row r="9" spans="1:2">
      <c r="A9" s="49">
        <v>-1.171</v>
      </c>
      <c r="B9">
        <f t="shared" si="0"/>
        <v>1.171</v>
      </c>
    </row>
    <row r="10" spans="1:2">
      <c r="A10" s="49">
        <v>-1.6830000000000001</v>
      </c>
      <c r="B10">
        <f t="shared" si="0"/>
        <v>1.6830000000000001</v>
      </c>
    </row>
    <row r="11" spans="1:2">
      <c r="A11" s="49">
        <v>-1.6830000000000001</v>
      </c>
      <c r="B11">
        <f t="shared" si="0"/>
        <v>1.6830000000000001</v>
      </c>
    </row>
    <row r="12" spans="1:2">
      <c r="A12" s="49">
        <v>-1.6830000000000001</v>
      </c>
      <c r="B12">
        <f t="shared" si="0"/>
        <v>1.6830000000000001</v>
      </c>
    </row>
    <row r="13" spans="1:2">
      <c r="A13" s="49">
        <v>-2.4769999999999999</v>
      </c>
      <c r="B13">
        <f t="shared" si="0"/>
        <v>2.4769999999999999</v>
      </c>
    </row>
    <row r="14" spans="1:2">
      <c r="A14" s="49">
        <v>-2.4769999999999999</v>
      </c>
      <c r="B14">
        <f t="shared" si="0"/>
        <v>2.4769999999999999</v>
      </c>
    </row>
    <row r="15" spans="1:2">
      <c r="A15" s="49">
        <v>-2.4769999999999999</v>
      </c>
      <c r="B15">
        <f t="shared" si="0"/>
        <v>2.4769999999999999</v>
      </c>
    </row>
    <row r="16" spans="1:2">
      <c r="A16" s="49">
        <v>-2.8620000000000001</v>
      </c>
      <c r="B16">
        <f t="shared" si="0"/>
        <v>2.8620000000000001</v>
      </c>
    </row>
    <row r="17" spans="1:2">
      <c r="A17" s="49">
        <v>-2.8620000000000001</v>
      </c>
      <c r="B17">
        <f t="shared" si="0"/>
        <v>2.8620000000000001</v>
      </c>
    </row>
    <row r="18" spans="1:2">
      <c r="A18" s="49">
        <v>-2.8620000000000001</v>
      </c>
      <c r="B18">
        <f t="shared" si="0"/>
        <v>2.8620000000000001</v>
      </c>
    </row>
    <row r="19" spans="1:2">
      <c r="A19" s="49">
        <v>-3.2050000000000001</v>
      </c>
      <c r="B19">
        <f t="shared" si="0"/>
        <v>3.2050000000000001</v>
      </c>
    </row>
    <row r="20" spans="1:2">
      <c r="A20" s="49">
        <v>-3.2050000000000001</v>
      </c>
      <c r="B20">
        <f t="shared" si="0"/>
        <v>3.2050000000000001</v>
      </c>
    </row>
    <row r="21" spans="1:2">
      <c r="A21" s="49">
        <v>-3.2050000000000001</v>
      </c>
      <c r="B21">
        <f t="shared" si="0"/>
        <v>3.2050000000000001</v>
      </c>
    </row>
    <row r="22" spans="1:2">
      <c r="A22" s="49">
        <v>-5.2350000000000003</v>
      </c>
      <c r="B22">
        <f t="shared" si="0"/>
        <v>5.2350000000000003</v>
      </c>
    </row>
    <row r="23" spans="1:2">
      <c r="A23" s="49">
        <v>-5.2350000000000003</v>
      </c>
      <c r="B23">
        <f t="shared" si="0"/>
        <v>5.2350000000000003</v>
      </c>
    </row>
    <row r="24" spans="1:2">
      <c r="A24" s="49">
        <v>-5.2350000000000003</v>
      </c>
      <c r="B24">
        <f t="shared" si="0"/>
        <v>5.2350000000000003</v>
      </c>
    </row>
    <row r="25" spans="1:2">
      <c r="A25" s="49">
        <v>-6.9569999999999999</v>
      </c>
      <c r="B25">
        <f t="shared" si="0"/>
        <v>6.9569999999999999</v>
      </c>
    </row>
    <row r="26" spans="1:2">
      <c r="A26" s="49">
        <v>-6.9569999999999999</v>
      </c>
      <c r="B26">
        <f t="shared" si="0"/>
        <v>6.9569999999999999</v>
      </c>
    </row>
    <row r="27" spans="1:2">
      <c r="A27" s="50">
        <v>-6.9569999999999999</v>
      </c>
      <c r="B27">
        <f t="shared" si="0"/>
        <v>6.9569999999999999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3"/>
  <sheetViews>
    <sheetView workbookViewId="0">
      <pane xSplit="2" ySplit="1" topLeftCell="V2" activePane="bottomRight" state="frozen"/>
      <selection pane="topRight" activeCell="C1" sqref="C1"/>
      <selection pane="bottomLeft" activeCell="A2" sqref="A2"/>
      <selection pane="bottomRight" activeCell="A5" sqref="A5:XFD5"/>
    </sheetView>
  </sheetViews>
  <sheetFormatPr baseColWidth="10" defaultRowHeight="16"/>
  <cols>
    <col min="2" max="2" width="19.6640625" customWidth="1"/>
    <col min="3" max="3" width="21.33203125" customWidth="1"/>
    <col min="4" max="4" width="23.83203125" customWidth="1"/>
    <col min="15" max="15" width="20.33203125" customWidth="1"/>
    <col min="18" max="18" width="14.1640625" bestFit="1" customWidth="1"/>
    <col min="19" max="19" width="30.5" bestFit="1" customWidth="1"/>
    <col min="20" max="20" width="14.5" bestFit="1" customWidth="1"/>
    <col min="21" max="21" width="8.6640625" bestFit="1" customWidth="1"/>
    <col min="22" max="22" width="16.5" bestFit="1" customWidth="1"/>
    <col min="23" max="23" width="16.5" customWidth="1"/>
    <col min="24" max="24" width="9.33203125" customWidth="1"/>
    <col min="28" max="28" width="37.6640625" customWidth="1"/>
  </cols>
  <sheetData>
    <row r="1" spans="1:28">
      <c r="A1" t="s">
        <v>0</v>
      </c>
      <c r="B1" s="1" t="s">
        <v>84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Q1" s="1" t="s">
        <v>91</v>
      </c>
      <c r="R1" s="1" t="s">
        <v>83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8">
      <c r="A2">
        <v>1</v>
      </c>
      <c r="B2" s="2">
        <v>0.05</v>
      </c>
      <c r="C2">
        <v>0.82299999999999995</v>
      </c>
      <c r="D2">
        <v>0.13100000000000001</v>
      </c>
      <c r="H2">
        <v>0.13100000000000001</v>
      </c>
      <c r="I2">
        <v>0</v>
      </c>
      <c r="J2">
        <v>0</v>
      </c>
      <c r="K2">
        <v>7.2308500000000005E-4</v>
      </c>
      <c r="L2">
        <v>0</v>
      </c>
      <c r="M2">
        <v>4.0285879999999996E-3</v>
      </c>
      <c r="N2">
        <v>2.4449999999999998</v>
      </c>
      <c r="O2">
        <v>2.3620000000000001</v>
      </c>
      <c r="Q2" s="2">
        <v>0.27251471399999999</v>
      </c>
      <c r="R2" s="2" t="s">
        <v>93</v>
      </c>
      <c r="S2" s="2">
        <v>0.5</v>
      </c>
      <c r="T2" s="2" t="s">
        <v>94</v>
      </c>
      <c r="U2" s="2">
        <v>30</v>
      </c>
      <c r="V2" s="2" t="s">
        <v>95</v>
      </c>
      <c r="W2" s="21" t="s">
        <v>359</v>
      </c>
      <c r="X2" s="21" t="s">
        <v>341</v>
      </c>
      <c r="Y2" s="21" t="s">
        <v>341</v>
      </c>
      <c r="Z2" s="21" t="s">
        <v>358</v>
      </c>
      <c r="AA2" s="21" t="s">
        <v>360</v>
      </c>
      <c r="AB2" t="str">
        <f>W2&amp;B2&amp;X2&amp;R2&amp;Y2&amp;T2&amp;Z2&amp;X2&amp;AA2&amp;U2</f>
        <v>miu=0.05@NH4@N_limit@C_N_ratio=30</v>
      </c>
    </row>
    <row r="3" spans="1:28">
      <c r="A3">
        <v>2</v>
      </c>
      <c r="B3" s="2">
        <v>0.05</v>
      </c>
      <c r="C3">
        <v>0.70399999999999996</v>
      </c>
      <c r="D3">
        <v>8.6999999999999994E-2</v>
      </c>
      <c r="H3">
        <v>8.6999999999999994E-2</v>
      </c>
      <c r="I3">
        <v>0</v>
      </c>
      <c r="J3">
        <v>0</v>
      </c>
      <c r="K3">
        <v>1.6583900000000001E-4</v>
      </c>
      <c r="L3">
        <v>0</v>
      </c>
      <c r="M3">
        <v>6.6796169999999997E-3</v>
      </c>
      <c r="N3">
        <v>2.105</v>
      </c>
      <c r="O3">
        <v>2.2759999999999998</v>
      </c>
      <c r="Q3" s="2">
        <v>0.25082010700000001</v>
      </c>
      <c r="R3" s="2" t="s">
        <v>93</v>
      </c>
      <c r="S3" s="2">
        <v>0.5</v>
      </c>
      <c r="T3" s="2" t="s">
        <v>94</v>
      </c>
      <c r="U3" s="2">
        <v>30</v>
      </c>
      <c r="V3" s="2" t="s">
        <v>95</v>
      </c>
      <c r="W3" s="21" t="s">
        <v>359</v>
      </c>
      <c r="X3" s="21" t="s">
        <v>341</v>
      </c>
      <c r="Y3" s="21" t="s">
        <v>341</v>
      </c>
      <c r="Z3" s="21" t="s">
        <v>358</v>
      </c>
      <c r="AA3" s="21" t="s">
        <v>360</v>
      </c>
      <c r="AB3" t="str">
        <f t="shared" ref="AB3:AB43" si="0">W3&amp;B3&amp;X3&amp;R3&amp;Y3&amp;T3&amp;Z3&amp;X3&amp;AA3&amp;U3</f>
        <v>miu=0.05@NH4@N_limit@C_N_ratio=30</v>
      </c>
    </row>
    <row r="4" spans="1:28">
      <c r="A4">
        <v>3</v>
      </c>
      <c r="B4" s="2">
        <v>0.05</v>
      </c>
      <c r="C4">
        <v>0.76800000000000002</v>
      </c>
      <c r="D4">
        <v>0.14000000000000001</v>
      </c>
      <c r="H4">
        <v>0.14000000000000001</v>
      </c>
      <c r="I4">
        <v>0</v>
      </c>
      <c r="J4">
        <v>0</v>
      </c>
      <c r="K4">
        <v>3.81541E-4</v>
      </c>
      <c r="L4">
        <v>0</v>
      </c>
      <c r="M4">
        <v>9.7823159999999992E-3</v>
      </c>
      <c r="N4">
        <v>2.383</v>
      </c>
      <c r="O4">
        <v>1.6240000000000001</v>
      </c>
      <c r="Q4" s="2">
        <v>0.26109650000000001</v>
      </c>
      <c r="R4" s="2" t="s">
        <v>93</v>
      </c>
      <c r="S4" s="2">
        <v>0.5</v>
      </c>
      <c r="T4" s="2" t="s">
        <v>94</v>
      </c>
      <c r="U4" s="2">
        <v>30</v>
      </c>
      <c r="V4" s="2" t="s">
        <v>95</v>
      </c>
      <c r="W4" s="21" t="s">
        <v>359</v>
      </c>
      <c r="X4" s="21" t="s">
        <v>341</v>
      </c>
      <c r="Y4" s="21" t="s">
        <v>341</v>
      </c>
      <c r="Z4" s="21" t="s">
        <v>358</v>
      </c>
      <c r="AA4" s="21" t="s">
        <v>360</v>
      </c>
      <c r="AB4" t="str">
        <f t="shared" si="0"/>
        <v>miu=0.05@NH4@N_limit@C_N_ratio=30</v>
      </c>
    </row>
    <row r="5" spans="1:28" s="3" customFormat="1">
      <c r="A5" s="3">
        <v>4</v>
      </c>
      <c r="B5" s="4">
        <v>0.1</v>
      </c>
      <c r="C5" s="3">
        <v>1.18</v>
      </c>
      <c r="D5" s="3">
        <v>2.2029999999999998</v>
      </c>
      <c r="H5" s="3">
        <v>2.2029999999999998</v>
      </c>
      <c r="I5" s="3">
        <v>0</v>
      </c>
      <c r="J5" s="3">
        <v>0</v>
      </c>
      <c r="K5" s="3">
        <v>1.2795499999999999E-4</v>
      </c>
      <c r="L5" s="3">
        <v>0</v>
      </c>
      <c r="M5" s="3">
        <v>0</v>
      </c>
      <c r="N5" s="3">
        <v>1.93</v>
      </c>
      <c r="O5" s="3">
        <v>2.44</v>
      </c>
      <c r="Q5" s="4">
        <v>0.35967375000000001</v>
      </c>
      <c r="R5" s="4" t="s">
        <v>93</v>
      </c>
      <c r="S5" s="4">
        <v>5</v>
      </c>
      <c r="T5" s="4" t="s">
        <v>96</v>
      </c>
      <c r="U5" s="4">
        <v>3</v>
      </c>
      <c r="V5" s="4" t="s">
        <v>97</v>
      </c>
      <c r="W5" s="21" t="s">
        <v>359</v>
      </c>
      <c r="X5" s="21" t="s">
        <v>341</v>
      </c>
      <c r="Y5" s="21" t="s">
        <v>341</v>
      </c>
      <c r="Z5" s="21" t="s">
        <v>358</v>
      </c>
      <c r="AA5" s="21" t="s">
        <v>360</v>
      </c>
      <c r="AB5" t="str">
        <f t="shared" si="0"/>
        <v>miu=0.1@NH4@C_limit@C_N_ratio=3</v>
      </c>
    </row>
    <row r="6" spans="1:28" s="3" customFormat="1">
      <c r="A6" s="3">
        <v>5</v>
      </c>
      <c r="B6" s="4">
        <v>0.1</v>
      </c>
      <c r="C6" s="3">
        <v>1.127</v>
      </c>
      <c r="D6" s="3">
        <v>2.0979999999999999</v>
      </c>
      <c r="H6" s="3">
        <v>2.0979999999999999</v>
      </c>
      <c r="I6" s="3">
        <v>1.6766474999999999E-2</v>
      </c>
      <c r="J6" s="3">
        <v>0</v>
      </c>
      <c r="K6" s="3">
        <v>1.5726999999999999E-4</v>
      </c>
      <c r="L6" s="3">
        <v>0</v>
      </c>
      <c r="M6" s="3">
        <v>0</v>
      </c>
      <c r="N6" s="3">
        <v>2.0699999999999998</v>
      </c>
      <c r="O6" s="3">
        <v>2.39</v>
      </c>
      <c r="Q6" s="4">
        <v>0.377942893</v>
      </c>
      <c r="R6" s="4" t="s">
        <v>93</v>
      </c>
      <c r="S6" s="4">
        <v>5</v>
      </c>
      <c r="T6" s="4" t="s">
        <v>96</v>
      </c>
      <c r="U6" s="4">
        <v>3</v>
      </c>
      <c r="V6" s="4" t="s">
        <v>97</v>
      </c>
      <c r="W6" s="21" t="s">
        <v>359</v>
      </c>
      <c r="X6" s="21" t="s">
        <v>341</v>
      </c>
      <c r="Y6" s="21" t="s">
        <v>341</v>
      </c>
      <c r="Z6" s="21" t="s">
        <v>358</v>
      </c>
      <c r="AA6" s="21" t="s">
        <v>360</v>
      </c>
      <c r="AB6" t="str">
        <f t="shared" si="0"/>
        <v>miu=0.1@NH4@C_limit@C_N_ratio=3</v>
      </c>
    </row>
    <row r="7" spans="1:28" s="3" customFormat="1">
      <c r="A7" s="3">
        <v>6</v>
      </c>
      <c r="B7" s="4">
        <v>0.1</v>
      </c>
      <c r="C7" s="3">
        <v>1.0980000000000001</v>
      </c>
      <c r="D7" s="3">
        <v>2.0550000000000002</v>
      </c>
      <c r="H7" s="3">
        <v>2.0550000000000002</v>
      </c>
      <c r="I7" s="3">
        <v>0</v>
      </c>
      <c r="J7" s="3">
        <v>0</v>
      </c>
      <c r="K7" s="3">
        <v>1.3422099999999999E-4</v>
      </c>
      <c r="L7" s="3">
        <v>0</v>
      </c>
      <c r="M7" s="3">
        <v>0</v>
      </c>
      <c r="N7" s="3">
        <v>1.97</v>
      </c>
      <c r="O7" s="3">
        <v>2.1800000000000002</v>
      </c>
      <c r="Q7" s="4">
        <v>0.33645671399999999</v>
      </c>
      <c r="R7" s="4" t="s">
        <v>93</v>
      </c>
      <c r="S7" s="4">
        <v>5</v>
      </c>
      <c r="T7" s="4" t="s">
        <v>96</v>
      </c>
      <c r="U7" s="4">
        <v>3</v>
      </c>
      <c r="V7" s="4" t="s">
        <v>97</v>
      </c>
      <c r="W7" s="21" t="s">
        <v>359</v>
      </c>
      <c r="X7" s="21" t="s">
        <v>341</v>
      </c>
      <c r="Y7" s="21" t="s">
        <v>341</v>
      </c>
      <c r="Z7" s="21" t="s">
        <v>358</v>
      </c>
      <c r="AA7" s="21" t="s">
        <v>360</v>
      </c>
      <c r="AB7" t="str">
        <f t="shared" si="0"/>
        <v>miu=0.1@NH4@C_limit@C_N_ratio=3</v>
      </c>
    </row>
    <row r="8" spans="1:28">
      <c r="A8">
        <v>7</v>
      </c>
      <c r="B8" s="2">
        <v>0.1</v>
      </c>
      <c r="C8">
        <v>1.51</v>
      </c>
      <c r="D8">
        <v>0.308</v>
      </c>
      <c r="H8">
        <v>0.308</v>
      </c>
      <c r="I8">
        <v>0</v>
      </c>
      <c r="J8">
        <v>7.5614127000000003E-2</v>
      </c>
      <c r="K8">
        <v>1.7982350000000001E-2</v>
      </c>
      <c r="L8">
        <v>0</v>
      </c>
      <c r="M8">
        <v>0</v>
      </c>
      <c r="N8">
        <v>3.4660000000000002</v>
      </c>
      <c r="O8">
        <v>3.6160000000000001</v>
      </c>
      <c r="Q8" s="2">
        <v>0.209333929</v>
      </c>
      <c r="R8" s="2" t="s">
        <v>93</v>
      </c>
      <c r="S8" s="2">
        <v>0.5</v>
      </c>
      <c r="T8" s="2" t="s">
        <v>94</v>
      </c>
      <c r="U8" s="2">
        <v>30</v>
      </c>
      <c r="V8" s="2" t="s">
        <v>98</v>
      </c>
      <c r="W8" s="21" t="s">
        <v>359</v>
      </c>
      <c r="X8" s="21" t="s">
        <v>341</v>
      </c>
      <c r="Y8" s="21" t="s">
        <v>341</v>
      </c>
      <c r="Z8" s="21" t="s">
        <v>358</v>
      </c>
      <c r="AA8" s="21" t="s">
        <v>360</v>
      </c>
      <c r="AB8" t="str">
        <f t="shared" si="0"/>
        <v>miu=0.1@NH4@N_limit@C_N_ratio=30</v>
      </c>
    </row>
    <row r="9" spans="1:28">
      <c r="A9">
        <v>8</v>
      </c>
      <c r="B9" s="2">
        <v>0.1</v>
      </c>
      <c r="C9">
        <v>1.5109999999999999</v>
      </c>
      <c r="D9">
        <v>0.308</v>
      </c>
      <c r="H9">
        <v>0.308</v>
      </c>
      <c r="I9">
        <v>0</v>
      </c>
      <c r="J9">
        <v>4.9087042999999997E-2</v>
      </c>
      <c r="K9">
        <v>1.38432E-2</v>
      </c>
      <c r="L9">
        <v>0</v>
      </c>
      <c r="M9">
        <v>0</v>
      </c>
      <c r="N9">
        <v>3.1360000000000001</v>
      </c>
      <c r="O9">
        <v>3.5219999999999998</v>
      </c>
      <c r="Q9" s="2">
        <v>0.22151335699999999</v>
      </c>
      <c r="R9" s="2" t="s">
        <v>93</v>
      </c>
      <c r="S9" s="2">
        <v>0.5</v>
      </c>
      <c r="T9" s="2" t="s">
        <v>94</v>
      </c>
      <c r="U9" s="2">
        <v>30</v>
      </c>
      <c r="V9" s="2" t="s">
        <v>98</v>
      </c>
      <c r="W9" s="21" t="s">
        <v>359</v>
      </c>
      <c r="X9" s="21" t="s">
        <v>341</v>
      </c>
      <c r="Y9" s="21" t="s">
        <v>341</v>
      </c>
      <c r="Z9" s="21" t="s">
        <v>358</v>
      </c>
      <c r="AA9" s="21" t="s">
        <v>360</v>
      </c>
      <c r="AB9" t="str">
        <f t="shared" si="0"/>
        <v>miu=0.1@NH4@N_limit@C_N_ratio=30</v>
      </c>
    </row>
    <row r="10" spans="1:28">
      <c r="A10">
        <v>9</v>
      </c>
      <c r="B10" s="2">
        <v>0.1</v>
      </c>
      <c r="C10">
        <v>1.4890000000000001</v>
      </c>
      <c r="D10">
        <v>0.30399999999999999</v>
      </c>
      <c r="H10">
        <v>0.30399999999999999</v>
      </c>
      <c r="I10">
        <v>0</v>
      </c>
      <c r="J10">
        <v>6.6037847999999996E-2</v>
      </c>
      <c r="K10">
        <v>1.602926E-2</v>
      </c>
      <c r="L10">
        <v>0</v>
      </c>
      <c r="M10">
        <v>0</v>
      </c>
      <c r="N10">
        <v>3.161</v>
      </c>
      <c r="O10">
        <v>3.8239999999999998</v>
      </c>
      <c r="Q10" s="2">
        <v>0.24587221400000001</v>
      </c>
      <c r="R10" s="2" t="s">
        <v>93</v>
      </c>
      <c r="S10" s="2">
        <v>0.5</v>
      </c>
      <c r="T10" s="2" t="s">
        <v>94</v>
      </c>
      <c r="U10" s="2">
        <v>30</v>
      </c>
      <c r="V10" s="2" t="s">
        <v>98</v>
      </c>
      <c r="W10" s="21" t="s">
        <v>359</v>
      </c>
      <c r="X10" s="21" t="s">
        <v>341</v>
      </c>
      <c r="Y10" s="21" t="s">
        <v>341</v>
      </c>
      <c r="Z10" s="21" t="s">
        <v>358</v>
      </c>
      <c r="AA10" s="21" t="s">
        <v>360</v>
      </c>
      <c r="AB10" t="str">
        <f t="shared" si="0"/>
        <v>miu=0.1@NH4@N_limit@C_N_ratio=30</v>
      </c>
    </row>
    <row r="11" spans="1:28">
      <c r="A11">
        <v>10</v>
      </c>
      <c r="B11" s="2">
        <v>0.13</v>
      </c>
      <c r="C11">
        <v>2.0190000000000001</v>
      </c>
      <c r="D11">
        <v>0.41499999999999998</v>
      </c>
      <c r="H11">
        <v>0.41499999999999998</v>
      </c>
      <c r="I11">
        <v>0.14387805000000001</v>
      </c>
      <c r="J11">
        <v>0.23128044</v>
      </c>
      <c r="K11">
        <v>2.4418572999999999E-2</v>
      </c>
      <c r="L11">
        <v>7.3894399999999995E-4</v>
      </c>
      <c r="M11">
        <v>4.2122905000000002E-2</v>
      </c>
      <c r="N11">
        <v>5.51</v>
      </c>
      <c r="O11">
        <v>5.2519999999999998</v>
      </c>
      <c r="Q11" s="2">
        <v>0.30372450000000001</v>
      </c>
      <c r="R11" s="2" t="s">
        <v>93</v>
      </c>
      <c r="S11" s="2">
        <v>0.5</v>
      </c>
      <c r="T11" s="2" t="s">
        <v>94</v>
      </c>
      <c r="U11" s="2">
        <v>30</v>
      </c>
      <c r="V11" s="2" t="s">
        <v>95</v>
      </c>
      <c r="W11" s="21" t="s">
        <v>359</v>
      </c>
      <c r="X11" s="21" t="s">
        <v>341</v>
      </c>
      <c r="Y11" s="21" t="s">
        <v>341</v>
      </c>
      <c r="Z11" s="21" t="s">
        <v>358</v>
      </c>
      <c r="AA11" s="21" t="s">
        <v>360</v>
      </c>
      <c r="AB11" t="str">
        <f t="shared" si="0"/>
        <v>miu=0.13@NH4@N_limit@C_N_ratio=30</v>
      </c>
    </row>
    <row r="12" spans="1:28">
      <c r="A12">
        <v>11</v>
      </c>
      <c r="B12" s="2">
        <v>0.13</v>
      </c>
      <c r="C12">
        <v>2.0590000000000002</v>
      </c>
      <c r="D12">
        <v>0.42499999999999999</v>
      </c>
      <c r="H12">
        <v>0.42499999999999999</v>
      </c>
      <c r="I12">
        <v>0.13916811300000001</v>
      </c>
      <c r="J12">
        <v>0.22761730999999999</v>
      </c>
      <c r="K12">
        <v>2.5077986E-2</v>
      </c>
      <c r="L12">
        <v>2.152588E-3</v>
      </c>
      <c r="M12">
        <v>3.3899711999999999E-2</v>
      </c>
      <c r="N12">
        <v>5.3739999999999997</v>
      </c>
      <c r="O12">
        <v>4.5460000000000003</v>
      </c>
      <c r="Q12" s="2">
        <v>0.25690982099999998</v>
      </c>
      <c r="R12" s="2" t="s">
        <v>93</v>
      </c>
      <c r="S12" s="2">
        <v>0.5</v>
      </c>
      <c r="T12" s="2" t="s">
        <v>94</v>
      </c>
      <c r="U12" s="2">
        <v>30</v>
      </c>
      <c r="V12" s="2" t="s">
        <v>95</v>
      </c>
      <c r="W12" s="21" t="s">
        <v>359</v>
      </c>
      <c r="X12" s="21" t="s">
        <v>341</v>
      </c>
      <c r="Y12" s="21" t="s">
        <v>341</v>
      </c>
      <c r="Z12" s="21" t="s">
        <v>358</v>
      </c>
      <c r="AA12" s="21" t="s">
        <v>360</v>
      </c>
      <c r="AB12" t="str">
        <f t="shared" si="0"/>
        <v>miu=0.13@NH4@N_limit@C_N_ratio=30</v>
      </c>
    </row>
    <row r="13" spans="1:28">
      <c r="A13">
        <v>12</v>
      </c>
      <c r="B13" s="2">
        <v>0.13</v>
      </c>
      <c r="C13">
        <v>2.1349999999999998</v>
      </c>
      <c r="D13">
        <v>0.438</v>
      </c>
      <c r="H13">
        <v>0.438</v>
      </c>
      <c r="I13">
        <v>0.13267562499999999</v>
      </c>
      <c r="J13">
        <v>0.25727792100000002</v>
      </c>
      <c r="K13">
        <v>2.6121129999999999E-2</v>
      </c>
      <c r="L13">
        <v>0</v>
      </c>
      <c r="M13">
        <v>4.1071206999999998E-2</v>
      </c>
      <c r="N13">
        <v>5.3019999999999996</v>
      </c>
      <c r="O13">
        <v>5.07</v>
      </c>
      <c r="Q13" s="2">
        <v>0.26642500000000002</v>
      </c>
      <c r="R13" s="2" t="s">
        <v>93</v>
      </c>
      <c r="S13" s="2">
        <v>0.5</v>
      </c>
      <c r="T13" s="2" t="s">
        <v>94</v>
      </c>
      <c r="U13" s="2">
        <v>30</v>
      </c>
      <c r="V13" s="2" t="s">
        <v>95</v>
      </c>
      <c r="W13" s="21" t="s">
        <v>359</v>
      </c>
      <c r="X13" s="21" t="s">
        <v>341</v>
      </c>
      <c r="Y13" s="21" t="s">
        <v>341</v>
      </c>
      <c r="Z13" s="21" t="s">
        <v>358</v>
      </c>
      <c r="AA13" s="21" t="s">
        <v>360</v>
      </c>
      <c r="AB13" t="str">
        <f t="shared" si="0"/>
        <v>miu=0.13@NH4@N_limit@C_N_ratio=30</v>
      </c>
    </row>
    <row r="14" spans="1:28">
      <c r="A14">
        <v>13</v>
      </c>
      <c r="B14" s="2">
        <v>0.18</v>
      </c>
      <c r="C14">
        <v>3.266</v>
      </c>
      <c r="D14">
        <v>0.66900000000000004</v>
      </c>
      <c r="H14">
        <v>0.66900000000000004</v>
      </c>
      <c r="I14">
        <v>1.2813869950000001</v>
      </c>
      <c r="J14">
        <v>0.18048138799999999</v>
      </c>
      <c r="K14">
        <v>3.2745818000000003E-2</v>
      </c>
      <c r="L14">
        <v>0</v>
      </c>
      <c r="M14">
        <v>5.6452840000000004E-3</v>
      </c>
      <c r="N14">
        <v>7.2619999999999996</v>
      </c>
      <c r="O14">
        <v>5.42</v>
      </c>
      <c r="Q14" s="2">
        <v>0.28926142900000001</v>
      </c>
      <c r="R14" s="2" t="s">
        <v>93</v>
      </c>
      <c r="S14" s="2">
        <v>0.5</v>
      </c>
      <c r="T14" s="2" t="s">
        <v>94</v>
      </c>
      <c r="U14" s="2">
        <v>30</v>
      </c>
      <c r="V14" s="2" t="s">
        <v>95</v>
      </c>
      <c r="W14" s="21" t="s">
        <v>359</v>
      </c>
      <c r="X14" s="21" t="s">
        <v>341</v>
      </c>
      <c r="Y14" s="21" t="s">
        <v>341</v>
      </c>
      <c r="Z14" s="21" t="s">
        <v>358</v>
      </c>
      <c r="AA14" s="21" t="s">
        <v>360</v>
      </c>
      <c r="AB14" t="str">
        <f t="shared" si="0"/>
        <v>miu=0.18@NH4@N_limit@C_N_ratio=30</v>
      </c>
    </row>
    <row r="15" spans="1:28">
      <c r="A15">
        <v>14</v>
      </c>
      <c r="B15" s="2">
        <v>0.18</v>
      </c>
      <c r="C15">
        <v>3.202</v>
      </c>
      <c r="D15">
        <v>0.65900000000000003</v>
      </c>
      <c r="H15">
        <v>0.65900000000000003</v>
      </c>
      <c r="I15">
        <v>1.4870797280000001</v>
      </c>
      <c r="J15">
        <v>0.41515672300000001</v>
      </c>
      <c r="K15">
        <v>3.1272250000000001E-2</v>
      </c>
      <c r="L15">
        <v>2.6969479999999998E-3</v>
      </c>
      <c r="M15">
        <v>1.6418242E-2</v>
      </c>
      <c r="N15">
        <v>7.3049999999999997</v>
      </c>
      <c r="O15">
        <v>6.0170000000000003</v>
      </c>
      <c r="Q15" s="2">
        <v>0.28202989299999998</v>
      </c>
      <c r="R15" s="2" t="s">
        <v>93</v>
      </c>
      <c r="S15" s="2">
        <v>0.5</v>
      </c>
      <c r="T15" s="2" t="s">
        <v>94</v>
      </c>
      <c r="U15" s="2">
        <v>30</v>
      </c>
      <c r="V15" s="2" t="s">
        <v>95</v>
      </c>
      <c r="W15" s="21" t="s">
        <v>359</v>
      </c>
      <c r="X15" s="21" t="s">
        <v>341</v>
      </c>
      <c r="Y15" s="21" t="s">
        <v>341</v>
      </c>
      <c r="Z15" s="21" t="s">
        <v>358</v>
      </c>
      <c r="AA15" s="21" t="s">
        <v>360</v>
      </c>
      <c r="AB15" t="str">
        <f t="shared" si="0"/>
        <v>miu=0.18@NH4@N_limit@C_N_ratio=30</v>
      </c>
    </row>
    <row r="16" spans="1:28">
      <c r="A16">
        <v>15</v>
      </c>
      <c r="B16" s="2">
        <v>0.18</v>
      </c>
      <c r="C16">
        <v>2.83</v>
      </c>
      <c r="D16">
        <v>0.58099999999999996</v>
      </c>
      <c r="H16">
        <v>0.58099999999999996</v>
      </c>
      <c r="I16">
        <v>1.069367508</v>
      </c>
      <c r="J16">
        <v>0.18424942899999999</v>
      </c>
      <c r="K16">
        <v>2.652065E-2</v>
      </c>
      <c r="L16">
        <v>0</v>
      </c>
      <c r="M16">
        <v>1.5674206999999999E-2</v>
      </c>
      <c r="N16">
        <v>6.2510000000000003</v>
      </c>
      <c r="O16">
        <v>5.2640000000000002</v>
      </c>
      <c r="Q16" s="2">
        <v>0.288119607</v>
      </c>
      <c r="R16" s="2" t="s">
        <v>93</v>
      </c>
      <c r="S16" s="2">
        <v>0.5</v>
      </c>
      <c r="T16" s="2" t="s">
        <v>94</v>
      </c>
      <c r="U16" s="2">
        <v>30</v>
      </c>
      <c r="V16" s="2" t="s">
        <v>95</v>
      </c>
      <c r="W16" s="21" t="s">
        <v>359</v>
      </c>
      <c r="X16" s="21" t="s">
        <v>341</v>
      </c>
      <c r="Y16" s="21" t="s">
        <v>341</v>
      </c>
      <c r="Z16" s="21" t="s">
        <v>358</v>
      </c>
      <c r="AA16" s="21" t="s">
        <v>360</v>
      </c>
      <c r="AB16" t="str">
        <f t="shared" si="0"/>
        <v>miu=0.18@NH4@N_limit@C_N_ratio=30</v>
      </c>
    </row>
    <row r="17" spans="1:28">
      <c r="A17">
        <v>16</v>
      </c>
      <c r="B17" s="2">
        <v>0.3</v>
      </c>
      <c r="C17">
        <v>7.9909999999999997</v>
      </c>
      <c r="D17">
        <v>1.6479999999999999</v>
      </c>
      <c r="H17">
        <v>1.6479999999999999</v>
      </c>
      <c r="I17">
        <v>7.0441347099999998</v>
      </c>
      <c r="J17">
        <v>0.31251037799999998</v>
      </c>
      <c r="K17">
        <v>5.1692219999999997E-2</v>
      </c>
      <c r="L17">
        <v>1.1339925000000001E-2</v>
      </c>
      <c r="M17">
        <v>0</v>
      </c>
      <c r="N17">
        <v>14.086</v>
      </c>
      <c r="O17">
        <v>8.3010000000000002</v>
      </c>
      <c r="Q17" s="2">
        <v>0.42247392900000003</v>
      </c>
      <c r="R17" s="2" t="s">
        <v>93</v>
      </c>
      <c r="S17" s="2">
        <v>0.5</v>
      </c>
      <c r="T17" s="2" t="s">
        <v>94</v>
      </c>
      <c r="U17" s="2">
        <v>30</v>
      </c>
      <c r="V17" s="2" t="s">
        <v>95</v>
      </c>
      <c r="W17" s="21" t="s">
        <v>359</v>
      </c>
      <c r="X17" s="21" t="s">
        <v>341</v>
      </c>
      <c r="Y17" s="21" t="s">
        <v>341</v>
      </c>
      <c r="Z17" s="21" t="s">
        <v>358</v>
      </c>
      <c r="AA17" s="21" t="s">
        <v>360</v>
      </c>
      <c r="AB17" t="str">
        <f t="shared" si="0"/>
        <v>miu=0.3@NH4@N_limit@C_N_ratio=30</v>
      </c>
    </row>
    <row r="18" spans="1:28">
      <c r="A18">
        <v>17</v>
      </c>
      <c r="B18" s="2">
        <v>0.3</v>
      </c>
      <c r="C18">
        <v>8.2759999999999998</v>
      </c>
      <c r="D18">
        <v>1.6950000000000001</v>
      </c>
      <c r="H18">
        <v>1.6950000000000001</v>
      </c>
      <c r="I18">
        <v>6.6847254490000001</v>
      </c>
      <c r="J18">
        <v>0.27229536399999998</v>
      </c>
      <c r="K18">
        <v>4.4478275999999997E-2</v>
      </c>
      <c r="L18">
        <v>3.4668667E-2</v>
      </c>
      <c r="M18">
        <v>0</v>
      </c>
      <c r="N18">
        <v>15.111000000000001</v>
      </c>
      <c r="O18">
        <v>8.3870000000000005</v>
      </c>
      <c r="Q18" s="2">
        <v>0.42133210700000001</v>
      </c>
      <c r="R18" s="2" t="s">
        <v>93</v>
      </c>
      <c r="S18" s="2">
        <v>0.5</v>
      </c>
      <c r="T18" s="2" t="s">
        <v>94</v>
      </c>
      <c r="U18" s="2">
        <v>30</v>
      </c>
      <c r="V18" s="2" t="s">
        <v>95</v>
      </c>
      <c r="W18" s="21" t="s">
        <v>359</v>
      </c>
      <c r="X18" s="21" t="s">
        <v>341</v>
      </c>
      <c r="Y18" s="21" t="s">
        <v>341</v>
      </c>
      <c r="Z18" s="21" t="s">
        <v>358</v>
      </c>
      <c r="AA18" s="21" t="s">
        <v>360</v>
      </c>
      <c r="AB18" t="str">
        <f t="shared" si="0"/>
        <v>miu=0.3@NH4@N_limit@C_N_ratio=30</v>
      </c>
    </row>
    <row r="19" spans="1:28">
      <c r="A19">
        <v>18</v>
      </c>
      <c r="B19" s="2">
        <v>0.3</v>
      </c>
      <c r="C19">
        <v>8.9320000000000004</v>
      </c>
      <c r="D19">
        <v>1.8660000000000001</v>
      </c>
      <c r="H19">
        <v>1.8660000000000001</v>
      </c>
      <c r="I19">
        <v>8.2124218889999998</v>
      </c>
      <c r="J19">
        <v>0.61718923199999998</v>
      </c>
      <c r="K19">
        <v>6.4337543999999997E-2</v>
      </c>
      <c r="L19">
        <v>2.9481279999999999E-2</v>
      </c>
      <c r="M19">
        <v>0</v>
      </c>
      <c r="N19">
        <v>16.956</v>
      </c>
      <c r="O19">
        <v>9.34</v>
      </c>
      <c r="Q19" s="2">
        <v>0.39963749999999998</v>
      </c>
      <c r="R19" s="2" t="s">
        <v>93</v>
      </c>
      <c r="S19" s="2">
        <v>0.5</v>
      </c>
      <c r="T19" s="2" t="s">
        <v>94</v>
      </c>
      <c r="U19" s="2">
        <v>30</v>
      </c>
      <c r="V19" s="2" t="s">
        <v>95</v>
      </c>
      <c r="W19" s="21" t="s">
        <v>359</v>
      </c>
      <c r="X19" s="21" t="s">
        <v>341</v>
      </c>
      <c r="Y19" s="21" t="s">
        <v>341</v>
      </c>
      <c r="Z19" s="21" t="s">
        <v>358</v>
      </c>
      <c r="AA19" s="21" t="s">
        <v>360</v>
      </c>
      <c r="AB19" t="str">
        <f t="shared" si="0"/>
        <v>miu=0.3@NH4@N_limit@C_N_ratio=30</v>
      </c>
    </row>
    <row r="20" spans="1:28">
      <c r="A20">
        <v>19</v>
      </c>
      <c r="B20" s="2">
        <v>0.35</v>
      </c>
      <c r="C20">
        <v>12.936999999999999</v>
      </c>
      <c r="D20">
        <v>2.7120000000000002</v>
      </c>
      <c r="H20">
        <v>2.7120000000000002</v>
      </c>
      <c r="I20">
        <v>11.927306959999999</v>
      </c>
      <c r="J20">
        <v>0.47269426599999997</v>
      </c>
      <c r="K20">
        <v>8.9757966999999994E-2</v>
      </c>
      <c r="L20">
        <v>3.5944587E-2</v>
      </c>
      <c r="M20">
        <v>0</v>
      </c>
      <c r="N20">
        <v>20.902000000000001</v>
      </c>
      <c r="O20">
        <v>12.682</v>
      </c>
      <c r="Q20" s="2">
        <v>0.48415467400000001</v>
      </c>
      <c r="R20" s="2" t="s">
        <v>93</v>
      </c>
      <c r="S20" s="2">
        <v>0.5</v>
      </c>
      <c r="T20" s="2" t="s">
        <v>94</v>
      </c>
      <c r="U20" s="2">
        <v>30</v>
      </c>
      <c r="V20" s="2" t="s">
        <v>95</v>
      </c>
      <c r="W20" s="21" t="s">
        <v>359</v>
      </c>
      <c r="X20" s="21" t="s">
        <v>341</v>
      </c>
      <c r="Y20" s="21" t="s">
        <v>341</v>
      </c>
      <c r="Z20" s="21" t="s">
        <v>358</v>
      </c>
      <c r="AA20" s="21" t="s">
        <v>360</v>
      </c>
      <c r="AB20" t="str">
        <f t="shared" si="0"/>
        <v>miu=0.35@NH4@N_limit@C_N_ratio=30</v>
      </c>
    </row>
    <row r="21" spans="1:28">
      <c r="A21">
        <v>20</v>
      </c>
      <c r="B21" s="2">
        <v>0.35</v>
      </c>
      <c r="C21">
        <v>13.23</v>
      </c>
      <c r="D21">
        <v>2.786</v>
      </c>
      <c r="H21">
        <v>2.786</v>
      </c>
      <c r="I21">
        <v>12.12470377</v>
      </c>
      <c r="J21">
        <v>0.63692599999999999</v>
      </c>
      <c r="K21">
        <v>0.104193063</v>
      </c>
      <c r="L21">
        <v>3.3770889999999998E-2</v>
      </c>
      <c r="M21">
        <v>0</v>
      </c>
      <c r="N21">
        <v>21.082999999999998</v>
      </c>
      <c r="O21">
        <v>12.353999999999999</v>
      </c>
      <c r="Q21" s="2">
        <v>0.48992198300000001</v>
      </c>
      <c r="R21" s="2" t="s">
        <v>93</v>
      </c>
      <c r="S21" s="2">
        <v>0.5</v>
      </c>
      <c r="T21" s="2" t="s">
        <v>94</v>
      </c>
      <c r="U21" s="2">
        <v>30</v>
      </c>
      <c r="V21" s="2" t="s">
        <v>95</v>
      </c>
      <c r="W21" s="21" t="s">
        <v>359</v>
      </c>
      <c r="X21" s="21" t="s">
        <v>341</v>
      </c>
      <c r="Y21" s="21" t="s">
        <v>341</v>
      </c>
      <c r="Z21" s="21" t="s">
        <v>358</v>
      </c>
      <c r="AA21" s="21" t="s">
        <v>360</v>
      </c>
      <c r="AB21" t="str">
        <f t="shared" si="0"/>
        <v>miu=0.35@NH4@N_limit@C_N_ratio=30</v>
      </c>
    </row>
    <row r="22" spans="1:28">
      <c r="A22">
        <v>21</v>
      </c>
      <c r="B22" s="2">
        <v>0.35</v>
      </c>
      <c r="C22">
        <v>13.096</v>
      </c>
      <c r="D22">
        <v>2.742</v>
      </c>
      <c r="H22">
        <v>2.742</v>
      </c>
      <c r="I22">
        <v>11.84780602</v>
      </c>
      <c r="J22">
        <v>0.47734259699999998</v>
      </c>
      <c r="K22">
        <v>9.1823417000000004E-2</v>
      </c>
      <c r="L22">
        <v>0</v>
      </c>
      <c r="M22">
        <v>0</v>
      </c>
      <c r="N22">
        <v>21.097999999999999</v>
      </c>
      <c r="O22">
        <v>12.977</v>
      </c>
      <c r="Q22" s="2">
        <v>0.50886425499999999</v>
      </c>
      <c r="R22" s="2" t="s">
        <v>93</v>
      </c>
      <c r="S22" s="2">
        <v>0.5</v>
      </c>
      <c r="T22" s="2" t="s">
        <v>94</v>
      </c>
      <c r="U22" s="2">
        <v>30</v>
      </c>
      <c r="V22" s="2" t="s">
        <v>95</v>
      </c>
      <c r="W22" s="21" t="s">
        <v>359</v>
      </c>
      <c r="X22" s="21" t="s">
        <v>341</v>
      </c>
      <c r="Y22" s="21" t="s">
        <v>341</v>
      </c>
      <c r="Z22" s="21" t="s">
        <v>358</v>
      </c>
      <c r="AA22" s="21" t="s">
        <v>360</v>
      </c>
      <c r="AB22" t="str">
        <f t="shared" si="0"/>
        <v>miu=0.35@NH4@N_limit@C_N_ratio=30</v>
      </c>
    </row>
    <row r="23" spans="1:28">
      <c r="A23">
        <v>22</v>
      </c>
      <c r="B23" s="2">
        <v>0.1</v>
      </c>
      <c r="C23">
        <v>0.82699999999999996</v>
      </c>
      <c r="E23">
        <v>0.747</v>
      </c>
      <c r="H23">
        <v>1.4930000000000001</v>
      </c>
      <c r="I23">
        <v>0</v>
      </c>
      <c r="J23">
        <v>0</v>
      </c>
      <c r="K23">
        <v>8.7561730000000008E-3</v>
      </c>
      <c r="L23">
        <v>0</v>
      </c>
      <c r="M23">
        <v>0</v>
      </c>
      <c r="N23">
        <v>2.7690000000000001</v>
      </c>
      <c r="O23">
        <v>2.4500000000000002</v>
      </c>
      <c r="Q23" s="2">
        <v>0.49783414300000001</v>
      </c>
      <c r="R23" s="2" t="s">
        <v>99</v>
      </c>
      <c r="S23" s="2">
        <v>5.53</v>
      </c>
      <c r="T23" s="2" t="s">
        <v>96</v>
      </c>
      <c r="U23" s="2">
        <v>5</v>
      </c>
      <c r="V23" s="2" t="s">
        <v>97</v>
      </c>
      <c r="W23" s="21" t="s">
        <v>359</v>
      </c>
      <c r="X23" s="21" t="s">
        <v>341</v>
      </c>
      <c r="Y23" s="21" t="s">
        <v>341</v>
      </c>
      <c r="Z23" s="21" t="s">
        <v>358</v>
      </c>
      <c r="AA23" s="21" t="s">
        <v>360</v>
      </c>
      <c r="AB23" t="str">
        <f t="shared" si="0"/>
        <v>miu=0.1@Gln@C_limit@C_N_ratio=5</v>
      </c>
    </row>
    <row r="24" spans="1:28">
      <c r="A24">
        <v>23</v>
      </c>
      <c r="B24" s="2">
        <v>0.1</v>
      </c>
      <c r="C24">
        <v>0.78800000000000003</v>
      </c>
      <c r="E24">
        <v>0.71199999999999997</v>
      </c>
      <c r="H24">
        <v>1.423</v>
      </c>
      <c r="I24">
        <v>0</v>
      </c>
      <c r="J24">
        <v>0</v>
      </c>
      <c r="K24">
        <v>5.5182690000000001E-3</v>
      </c>
      <c r="L24">
        <v>0</v>
      </c>
      <c r="M24">
        <v>0</v>
      </c>
      <c r="N24">
        <v>2.7170000000000001</v>
      </c>
      <c r="O24">
        <v>2.3530000000000002</v>
      </c>
      <c r="Q24" s="2">
        <v>0.58385135700000002</v>
      </c>
      <c r="R24" s="2" t="s">
        <v>99</v>
      </c>
      <c r="S24" s="2">
        <v>5.53</v>
      </c>
      <c r="T24" s="2" t="s">
        <v>96</v>
      </c>
      <c r="U24" s="2">
        <v>5</v>
      </c>
      <c r="V24" s="2" t="s">
        <v>97</v>
      </c>
      <c r="W24" s="21" t="s">
        <v>359</v>
      </c>
      <c r="X24" s="21" t="s">
        <v>341</v>
      </c>
      <c r="Y24" s="21" t="s">
        <v>341</v>
      </c>
      <c r="Z24" s="21" t="s">
        <v>358</v>
      </c>
      <c r="AA24" s="21" t="s">
        <v>360</v>
      </c>
      <c r="AB24" t="str">
        <f t="shared" si="0"/>
        <v>miu=0.1@Gln@C_limit@C_N_ratio=5</v>
      </c>
    </row>
    <row r="25" spans="1:28">
      <c r="A25">
        <v>24</v>
      </c>
      <c r="B25" s="2">
        <v>0.1</v>
      </c>
      <c r="C25">
        <v>0.76700000000000002</v>
      </c>
      <c r="E25">
        <v>0.69099999999999995</v>
      </c>
      <c r="H25">
        <v>1.3819999999999999</v>
      </c>
      <c r="I25">
        <v>0</v>
      </c>
      <c r="J25">
        <v>0</v>
      </c>
      <c r="K25">
        <v>1.9902549999999998E-3</v>
      </c>
      <c r="L25">
        <v>0</v>
      </c>
      <c r="M25">
        <v>0</v>
      </c>
      <c r="N25">
        <v>2.5739999999999998</v>
      </c>
      <c r="O25">
        <v>2.25</v>
      </c>
      <c r="Q25" s="2">
        <v>0.59412774999999995</v>
      </c>
      <c r="R25" s="2" t="s">
        <v>99</v>
      </c>
      <c r="S25" s="2">
        <v>5.53</v>
      </c>
      <c r="T25" s="2" t="s">
        <v>96</v>
      </c>
      <c r="U25" s="2">
        <v>5</v>
      </c>
      <c r="V25" s="2" t="s">
        <v>97</v>
      </c>
      <c r="W25" s="21" t="s">
        <v>359</v>
      </c>
      <c r="X25" s="21" t="s">
        <v>341</v>
      </c>
      <c r="Y25" s="21" t="s">
        <v>341</v>
      </c>
      <c r="Z25" s="21" t="s">
        <v>358</v>
      </c>
      <c r="AA25" s="21" t="s">
        <v>360</v>
      </c>
      <c r="AB25" t="str">
        <f t="shared" si="0"/>
        <v>miu=0.1@Gln@C_limit@C_N_ratio=5</v>
      </c>
    </row>
    <row r="26" spans="1:28">
      <c r="A26">
        <v>25</v>
      </c>
      <c r="B26" s="2">
        <v>0.1</v>
      </c>
      <c r="C26">
        <v>0.80700000000000005</v>
      </c>
      <c r="E26">
        <v>4.92</v>
      </c>
      <c r="H26">
        <v>9.8390000000000004</v>
      </c>
      <c r="I26">
        <v>0</v>
      </c>
      <c r="J26">
        <v>0</v>
      </c>
      <c r="K26">
        <v>3.9436786000000001E-2</v>
      </c>
      <c r="L26">
        <v>0</v>
      </c>
      <c r="M26">
        <v>1.3630471999999999E-2</v>
      </c>
      <c r="N26">
        <v>3.032</v>
      </c>
      <c r="O26">
        <v>1.7749999999999999</v>
      </c>
      <c r="Q26" s="2">
        <v>0.510013571</v>
      </c>
      <c r="R26" s="2" t="s">
        <v>99</v>
      </c>
      <c r="S26" s="2">
        <v>5.53</v>
      </c>
      <c r="T26" s="2" t="s">
        <v>96</v>
      </c>
      <c r="U26" s="2">
        <v>3</v>
      </c>
      <c r="V26" s="2" t="s">
        <v>97</v>
      </c>
      <c r="W26" s="21" t="s">
        <v>359</v>
      </c>
      <c r="X26" s="21" t="s">
        <v>341</v>
      </c>
      <c r="Y26" s="21" t="s">
        <v>341</v>
      </c>
      <c r="Z26" s="21" t="s">
        <v>358</v>
      </c>
      <c r="AA26" s="21" t="s">
        <v>360</v>
      </c>
      <c r="AB26" t="str">
        <f t="shared" si="0"/>
        <v>miu=0.1@Gln@C_limit@C_N_ratio=3</v>
      </c>
    </row>
    <row r="27" spans="1:28">
      <c r="A27">
        <v>26</v>
      </c>
      <c r="B27" s="2">
        <v>0.1</v>
      </c>
      <c r="C27">
        <v>0.64900000000000002</v>
      </c>
      <c r="E27">
        <v>3.9620000000000002</v>
      </c>
      <c r="H27">
        <v>7.9240000000000004</v>
      </c>
      <c r="I27">
        <v>0</v>
      </c>
      <c r="J27">
        <v>0</v>
      </c>
      <c r="K27">
        <v>3.0460814999999999E-2</v>
      </c>
      <c r="L27">
        <v>0</v>
      </c>
      <c r="M27">
        <v>9.5061450000000006E-3</v>
      </c>
      <c r="N27">
        <v>1.9590000000000001</v>
      </c>
      <c r="O27">
        <v>1.623</v>
      </c>
      <c r="Q27" s="2">
        <v>0.29420932100000002</v>
      </c>
      <c r="R27" s="2" t="s">
        <v>99</v>
      </c>
      <c r="S27" s="2">
        <v>5.53</v>
      </c>
      <c r="T27" s="2" t="s">
        <v>96</v>
      </c>
      <c r="U27" s="2">
        <v>3</v>
      </c>
      <c r="V27" s="2" t="s">
        <v>97</v>
      </c>
      <c r="W27" s="21" t="s">
        <v>359</v>
      </c>
      <c r="X27" s="21" t="s">
        <v>341</v>
      </c>
      <c r="Y27" s="21" t="s">
        <v>341</v>
      </c>
      <c r="Z27" s="21" t="s">
        <v>358</v>
      </c>
      <c r="AA27" s="21" t="s">
        <v>360</v>
      </c>
      <c r="AB27" t="str">
        <f t="shared" si="0"/>
        <v>miu=0.1@Gln@C_limit@C_N_ratio=3</v>
      </c>
    </row>
    <row r="28" spans="1:28">
      <c r="A28">
        <v>27</v>
      </c>
      <c r="B28" s="2">
        <v>0.1</v>
      </c>
      <c r="C28">
        <v>0.76500000000000001</v>
      </c>
      <c r="E28">
        <v>4.6159999999999997</v>
      </c>
      <c r="H28">
        <v>9.2319999999999993</v>
      </c>
      <c r="I28">
        <v>0</v>
      </c>
      <c r="J28">
        <v>0</v>
      </c>
      <c r="K28">
        <v>2.5119712999999998E-2</v>
      </c>
      <c r="L28">
        <v>0</v>
      </c>
      <c r="M28">
        <v>0</v>
      </c>
      <c r="N28">
        <v>2.569</v>
      </c>
      <c r="O28">
        <v>1.2909999999999999</v>
      </c>
      <c r="Q28" s="2">
        <v>0.358912536</v>
      </c>
      <c r="R28" s="2" t="s">
        <v>99</v>
      </c>
      <c r="S28" s="2">
        <v>5.53</v>
      </c>
      <c r="T28" s="2" t="s">
        <v>96</v>
      </c>
      <c r="U28" s="2">
        <v>3</v>
      </c>
      <c r="V28" s="2" t="s">
        <v>97</v>
      </c>
      <c r="W28" s="21" t="s">
        <v>359</v>
      </c>
      <c r="X28" s="21" t="s">
        <v>341</v>
      </c>
      <c r="Y28" s="21" t="s">
        <v>341</v>
      </c>
      <c r="Z28" s="21" t="s">
        <v>358</v>
      </c>
      <c r="AA28" s="21" t="s">
        <v>360</v>
      </c>
      <c r="AB28" t="str">
        <f t="shared" si="0"/>
        <v>miu=0.1@Gln@C_limit@C_N_ratio=3</v>
      </c>
    </row>
    <row r="29" spans="1:28">
      <c r="A29">
        <v>28</v>
      </c>
      <c r="B29" s="2">
        <v>0.1</v>
      </c>
      <c r="C29">
        <v>1.381</v>
      </c>
      <c r="E29">
        <v>0.158</v>
      </c>
      <c r="H29">
        <v>0.317</v>
      </c>
      <c r="I29">
        <v>1.8073279000000001E-2</v>
      </c>
      <c r="J29">
        <v>7.8381013999999999E-2</v>
      </c>
      <c r="K29">
        <v>0.86713414300000002</v>
      </c>
      <c r="L29">
        <v>5.4564440000000004E-3</v>
      </c>
      <c r="M29">
        <v>4.6616212999999997E-2</v>
      </c>
      <c r="N29">
        <v>4.3209999999999997</v>
      </c>
      <c r="O29">
        <v>3.883</v>
      </c>
      <c r="Q29" s="2">
        <v>0.20552785700000001</v>
      </c>
      <c r="R29" s="2" t="s">
        <v>99</v>
      </c>
      <c r="S29" s="2">
        <v>0.55000000000000004</v>
      </c>
      <c r="T29" s="2" t="s">
        <v>94</v>
      </c>
      <c r="U29" s="2">
        <v>30</v>
      </c>
      <c r="V29" s="2" t="s">
        <v>97</v>
      </c>
      <c r="W29" s="21" t="s">
        <v>359</v>
      </c>
      <c r="X29" s="21" t="s">
        <v>341</v>
      </c>
      <c r="Y29" s="21" t="s">
        <v>341</v>
      </c>
      <c r="Z29" s="21" t="s">
        <v>358</v>
      </c>
      <c r="AA29" s="21" t="s">
        <v>360</v>
      </c>
      <c r="AB29" t="str">
        <f t="shared" si="0"/>
        <v>miu=0.1@Gln@N_limit@C_N_ratio=30</v>
      </c>
    </row>
    <row r="30" spans="1:28">
      <c r="A30">
        <v>29</v>
      </c>
      <c r="B30" s="2">
        <v>0.1</v>
      </c>
      <c r="C30">
        <v>1.2589999999999999</v>
      </c>
      <c r="E30">
        <v>0.14199999999999999</v>
      </c>
      <c r="H30">
        <v>0.28399999999999997</v>
      </c>
      <c r="I30">
        <v>0</v>
      </c>
      <c r="J30">
        <v>3.4333113999999998E-2</v>
      </c>
      <c r="K30">
        <v>0.69158415699999998</v>
      </c>
      <c r="L30">
        <v>0</v>
      </c>
      <c r="M30">
        <v>4.5041784000000001E-2</v>
      </c>
      <c r="N30">
        <v>3.93</v>
      </c>
      <c r="O30">
        <v>3.3959999999999999</v>
      </c>
      <c r="Q30" s="2">
        <v>0.35282282100000001</v>
      </c>
      <c r="R30" s="2" t="s">
        <v>99</v>
      </c>
      <c r="S30" s="2">
        <v>0.55000000000000004</v>
      </c>
      <c r="T30" s="2" t="s">
        <v>94</v>
      </c>
      <c r="U30" s="2">
        <v>30</v>
      </c>
      <c r="V30" s="2" t="s">
        <v>97</v>
      </c>
      <c r="W30" s="21" t="s">
        <v>359</v>
      </c>
      <c r="X30" s="21" t="s">
        <v>341</v>
      </c>
      <c r="Y30" s="21" t="s">
        <v>341</v>
      </c>
      <c r="Z30" s="21" t="s">
        <v>358</v>
      </c>
      <c r="AA30" s="21" t="s">
        <v>360</v>
      </c>
      <c r="AB30" t="str">
        <f t="shared" si="0"/>
        <v>miu=0.1@Gln@N_limit@C_N_ratio=30</v>
      </c>
    </row>
    <row r="31" spans="1:28">
      <c r="A31">
        <v>30</v>
      </c>
      <c r="B31" s="2">
        <v>0.1</v>
      </c>
      <c r="C31">
        <v>1.3</v>
      </c>
      <c r="E31">
        <v>0.14899999999999999</v>
      </c>
      <c r="H31">
        <v>0.29799999999999999</v>
      </c>
      <c r="I31">
        <v>0</v>
      </c>
      <c r="J31">
        <v>7.6426068999999999E-2</v>
      </c>
      <c r="K31">
        <v>0.84262339500000005</v>
      </c>
      <c r="L31">
        <v>5.663179E-3</v>
      </c>
      <c r="M31">
        <v>4.1991897E-2</v>
      </c>
      <c r="N31">
        <v>4.077</v>
      </c>
      <c r="O31">
        <v>3.3340000000000001</v>
      </c>
      <c r="Q31" s="2">
        <v>0.36195739300000002</v>
      </c>
      <c r="R31" s="2" t="s">
        <v>99</v>
      </c>
      <c r="S31" s="2">
        <v>0.55000000000000004</v>
      </c>
      <c r="T31" s="2" t="s">
        <v>94</v>
      </c>
      <c r="U31" s="2">
        <v>30</v>
      </c>
      <c r="V31" s="2" t="s">
        <v>97</v>
      </c>
      <c r="W31" s="21" t="s">
        <v>359</v>
      </c>
      <c r="X31" s="21" t="s">
        <v>341</v>
      </c>
      <c r="Y31" s="21" t="s">
        <v>341</v>
      </c>
      <c r="Z31" s="21" t="s">
        <v>358</v>
      </c>
      <c r="AA31" s="21" t="s">
        <v>360</v>
      </c>
      <c r="AB31" t="str">
        <f t="shared" si="0"/>
        <v>miu=0.1@Gln@N_limit@C_N_ratio=30</v>
      </c>
    </row>
    <row r="32" spans="1:28">
      <c r="A32">
        <v>31</v>
      </c>
      <c r="B32" s="2">
        <v>0.1</v>
      </c>
      <c r="C32">
        <v>1.4850000000000001</v>
      </c>
      <c r="F32">
        <v>2.8620000000000001</v>
      </c>
      <c r="H32">
        <v>2.8620000000000001</v>
      </c>
      <c r="I32">
        <v>0</v>
      </c>
      <c r="J32">
        <v>0</v>
      </c>
      <c r="K32">
        <v>6.3162172000000003E-2</v>
      </c>
      <c r="L32">
        <v>0</v>
      </c>
      <c r="M32">
        <v>0</v>
      </c>
      <c r="N32">
        <v>5.7110000000000003</v>
      </c>
      <c r="O32">
        <v>5.6040000000000001</v>
      </c>
      <c r="Q32" s="2">
        <v>0.425138179</v>
      </c>
      <c r="R32" s="2" t="s">
        <v>102</v>
      </c>
      <c r="S32" s="2">
        <v>12.35</v>
      </c>
      <c r="T32" s="2" t="s">
        <v>96</v>
      </c>
      <c r="U32" s="2">
        <v>3</v>
      </c>
      <c r="V32" s="2" t="s">
        <v>97</v>
      </c>
      <c r="W32" s="21" t="s">
        <v>359</v>
      </c>
      <c r="X32" s="21" t="s">
        <v>341</v>
      </c>
      <c r="Y32" s="21" t="s">
        <v>341</v>
      </c>
      <c r="Z32" s="21" t="s">
        <v>358</v>
      </c>
      <c r="AA32" s="21" t="s">
        <v>360</v>
      </c>
      <c r="AB32" t="str">
        <f t="shared" si="0"/>
        <v>miu=0.1@Phe@C_limit@C_N_ratio=3</v>
      </c>
    </row>
    <row r="33" spans="1:28">
      <c r="A33">
        <v>32</v>
      </c>
      <c r="B33" s="2">
        <v>0.1</v>
      </c>
      <c r="C33">
        <v>1.6</v>
      </c>
      <c r="F33">
        <v>3.0840000000000001</v>
      </c>
      <c r="H33">
        <v>3.0840000000000001</v>
      </c>
      <c r="I33">
        <v>0</v>
      </c>
      <c r="J33">
        <v>0</v>
      </c>
      <c r="K33">
        <v>7.4209667000000007E-2</v>
      </c>
      <c r="L33">
        <v>0</v>
      </c>
      <c r="M33">
        <v>0</v>
      </c>
      <c r="N33">
        <v>6.0389999999999997</v>
      </c>
      <c r="O33">
        <v>5.8689999999999998</v>
      </c>
      <c r="Q33" s="2">
        <v>0.52028996400000005</v>
      </c>
      <c r="R33" s="2" t="s">
        <v>102</v>
      </c>
      <c r="S33" s="2">
        <v>12.35</v>
      </c>
      <c r="T33" s="2" t="s">
        <v>96</v>
      </c>
      <c r="U33" s="2">
        <v>3</v>
      </c>
      <c r="V33" s="2" t="s">
        <v>97</v>
      </c>
      <c r="W33" s="21" t="s">
        <v>359</v>
      </c>
      <c r="X33" s="21" t="s">
        <v>341</v>
      </c>
      <c r="Y33" s="21" t="s">
        <v>341</v>
      </c>
      <c r="Z33" s="21" t="s">
        <v>358</v>
      </c>
      <c r="AA33" s="21" t="s">
        <v>360</v>
      </c>
      <c r="AB33" t="str">
        <f t="shared" si="0"/>
        <v>miu=0.1@Phe@C_limit@C_N_ratio=3</v>
      </c>
    </row>
    <row r="34" spans="1:28">
      <c r="A34">
        <v>33</v>
      </c>
      <c r="B34" s="2">
        <v>0.1</v>
      </c>
      <c r="C34">
        <v>1.4350000000000001</v>
      </c>
      <c r="F34">
        <v>2.7629999999999999</v>
      </c>
      <c r="H34">
        <v>2.7629999999999999</v>
      </c>
      <c r="I34">
        <v>0</v>
      </c>
      <c r="J34">
        <v>0</v>
      </c>
      <c r="K34">
        <v>7.4921513999999995E-2</v>
      </c>
      <c r="L34">
        <v>0</v>
      </c>
      <c r="M34">
        <v>0</v>
      </c>
      <c r="N34">
        <v>5.32</v>
      </c>
      <c r="O34">
        <v>5.0789999999999997</v>
      </c>
      <c r="Q34" s="2">
        <v>0.452161286</v>
      </c>
      <c r="R34" s="2" t="s">
        <v>102</v>
      </c>
      <c r="S34" s="2">
        <v>12.35</v>
      </c>
      <c r="T34" s="2" t="s">
        <v>96</v>
      </c>
      <c r="U34" s="2">
        <v>3</v>
      </c>
      <c r="V34" s="2" t="s">
        <v>97</v>
      </c>
      <c r="W34" s="21" t="s">
        <v>359</v>
      </c>
      <c r="X34" s="21" t="s">
        <v>341</v>
      </c>
      <c r="Y34" s="21" t="s">
        <v>341</v>
      </c>
      <c r="Z34" s="21" t="s">
        <v>358</v>
      </c>
      <c r="AA34" s="21" t="s">
        <v>360</v>
      </c>
      <c r="AB34" t="str">
        <f t="shared" si="0"/>
        <v>miu=0.1@Phe@C_limit@C_N_ratio=3</v>
      </c>
    </row>
    <row r="35" spans="1:28">
      <c r="A35">
        <v>34</v>
      </c>
      <c r="B35" s="2">
        <v>0.1</v>
      </c>
      <c r="C35">
        <v>1.6779999999999999</v>
      </c>
      <c r="F35">
        <v>0.33400000000000002</v>
      </c>
      <c r="H35">
        <v>0.33400000000000002</v>
      </c>
      <c r="I35">
        <v>0</v>
      </c>
      <c r="J35">
        <v>0</v>
      </c>
      <c r="K35">
        <v>0.27117874199999997</v>
      </c>
      <c r="L35">
        <v>0</v>
      </c>
      <c r="M35">
        <v>0</v>
      </c>
      <c r="N35">
        <v>5.7240000000000002</v>
      </c>
      <c r="O35">
        <v>5.9080000000000004</v>
      </c>
      <c r="Q35" s="2">
        <v>0.41790664300000002</v>
      </c>
      <c r="R35" s="2" t="s">
        <v>102</v>
      </c>
      <c r="S35" s="2">
        <v>1.24</v>
      </c>
      <c r="T35" s="2" t="s">
        <v>94</v>
      </c>
      <c r="U35" s="2">
        <v>30</v>
      </c>
      <c r="V35" s="2" t="s">
        <v>97</v>
      </c>
      <c r="W35" s="21" t="s">
        <v>359</v>
      </c>
      <c r="X35" s="21" t="s">
        <v>341</v>
      </c>
      <c r="Y35" s="21" t="s">
        <v>341</v>
      </c>
      <c r="Z35" s="21" t="s">
        <v>358</v>
      </c>
      <c r="AA35" s="21" t="s">
        <v>360</v>
      </c>
      <c r="AB35" t="str">
        <f t="shared" si="0"/>
        <v>miu=0.1@Phe@N_limit@C_N_ratio=30</v>
      </c>
    </row>
    <row r="36" spans="1:28">
      <c r="A36">
        <v>35</v>
      </c>
      <c r="B36" s="2">
        <v>0.1</v>
      </c>
      <c r="C36">
        <v>1.6930000000000001</v>
      </c>
      <c r="F36">
        <v>0.33700000000000002</v>
      </c>
      <c r="H36">
        <v>0.33700000000000002</v>
      </c>
      <c r="I36">
        <v>0</v>
      </c>
      <c r="J36">
        <v>0</v>
      </c>
      <c r="K36">
        <v>0.30716928599999999</v>
      </c>
      <c r="L36">
        <v>0</v>
      </c>
      <c r="M36">
        <v>0</v>
      </c>
      <c r="N36">
        <v>5.9720000000000004</v>
      </c>
      <c r="O36">
        <v>5.29</v>
      </c>
      <c r="Q36" s="2">
        <v>0.37870410700000001</v>
      </c>
      <c r="R36" s="2" t="s">
        <v>102</v>
      </c>
      <c r="S36" s="2">
        <v>1.24</v>
      </c>
      <c r="T36" s="2" t="s">
        <v>94</v>
      </c>
      <c r="U36" s="2">
        <v>30</v>
      </c>
      <c r="V36" s="2" t="s">
        <v>97</v>
      </c>
      <c r="W36" s="21" t="s">
        <v>359</v>
      </c>
      <c r="X36" s="21" t="s">
        <v>341</v>
      </c>
      <c r="Y36" s="21" t="s">
        <v>341</v>
      </c>
      <c r="Z36" s="21" t="s">
        <v>358</v>
      </c>
      <c r="AA36" s="21" t="s">
        <v>360</v>
      </c>
      <c r="AB36" t="str">
        <f t="shared" si="0"/>
        <v>miu=0.1@Phe@N_limit@C_N_ratio=30</v>
      </c>
    </row>
    <row r="37" spans="1:28">
      <c r="A37">
        <v>36</v>
      </c>
      <c r="B37" s="2">
        <v>0.1</v>
      </c>
      <c r="C37">
        <v>1.647</v>
      </c>
      <c r="F37">
        <v>0.32700000000000001</v>
      </c>
      <c r="H37">
        <v>0.32700000000000001</v>
      </c>
      <c r="I37">
        <v>0</v>
      </c>
      <c r="J37">
        <v>0</v>
      </c>
      <c r="K37">
        <v>0.20397084300000001</v>
      </c>
      <c r="L37">
        <v>0</v>
      </c>
      <c r="M37">
        <v>0</v>
      </c>
      <c r="N37">
        <v>6.1310000000000002</v>
      </c>
      <c r="O37">
        <v>5.69</v>
      </c>
      <c r="Q37" s="2">
        <v>0.39887628600000002</v>
      </c>
      <c r="R37" s="2" t="s">
        <v>102</v>
      </c>
      <c r="S37" s="2">
        <v>1.24</v>
      </c>
      <c r="T37" s="2" t="s">
        <v>94</v>
      </c>
      <c r="U37" s="2">
        <v>30</v>
      </c>
      <c r="V37" s="2" t="s">
        <v>97</v>
      </c>
      <c r="W37" s="21" t="s">
        <v>359</v>
      </c>
      <c r="X37" s="21" t="s">
        <v>341</v>
      </c>
      <c r="Y37" s="21" t="s">
        <v>341</v>
      </c>
      <c r="Z37" s="21" t="s">
        <v>358</v>
      </c>
      <c r="AA37" s="21" t="s">
        <v>360</v>
      </c>
      <c r="AB37" t="str">
        <f t="shared" si="0"/>
        <v>miu=0.1@Phe@N_limit@C_N_ratio=30</v>
      </c>
    </row>
    <row r="38" spans="1:28">
      <c r="A38">
        <v>37</v>
      </c>
      <c r="B38" s="2">
        <v>0.1</v>
      </c>
      <c r="C38">
        <v>1.4790000000000001</v>
      </c>
      <c r="G38">
        <v>2.919</v>
      </c>
      <c r="H38">
        <v>2.919</v>
      </c>
      <c r="I38">
        <v>6.4434642E-2</v>
      </c>
      <c r="J38">
        <v>0</v>
      </c>
      <c r="K38">
        <v>0.16559933199999999</v>
      </c>
      <c r="L38">
        <v>0</v>
      </c>
      <c r="M38">
        <v>4.8736990000000004E-3</v>
      </c>
      <c r="N38">
        <v>4.7869999999999999</v>
      </c>
      <c r="O38">
        <v>4.5609999999999999</v>
      </c>
      <c r="Q38" s="2">
        <v>0.32085182099999998</v>
      </c>
      <c r="R38" s="2" t="s">
        <v>103</v>
      </c>
      <c r="S38" s="2">
        <v>9.81</v>
      </c>
      <c r="T38" s="2" t="s">
        <v>96</v>
      </c>
      <c r="U38" s="2">
        <v>3</v>
      </c>
      <c r="V38" s="2" t="s">
        <v>97</v>
      </c>
      <c r="W38" s="21" t="s">
        <v>359</v>
      </c>
      <c r="X38" s="21" t="s">
        <v>341</v>
      </c>
      <c r="Y38" s="21" t="s">
        <v>341</v>
      </c>
      <c r="Z38" s="21" t="s">
        <v>358</v>
      </c>
      <c r="AA38" s="21" t="s">
        <v>360</v>
      </c>
      <c r="AB38" t="str">
        <f t="shared" si="0"/>
        <v>miu=0.1@Ile@C_limit@C_N_ratio=3</v>
      </c>
    </row>
    <row r="39" spans="1:28">
      <c r="A39">
        <v>38</v>
      </c>
      <c r="B39" s="2">
        <v>0.1</v>
      </c>
      <c r="C39">
        <v>1.633</v>
      </c>
      <c r="G39">
        <v>3.2</v>
      </c>
      <c r="H39">
        <v>3.2</v>
      </c>
      <c r="I39">
        <v>0</v>
      </c>
      <c r="J39">
        <v>0</v>
      </c>
      <c r="K39">
        <v>0.156217087</v>
      </c>
      <c r="L39">
        <v>0</v>
      </c>
      <c r="M39">
        <v>0</v>
      </c>
      <c r="N39">
        <v>5.1379999999999999</v>
      </c>
      <c r="O39">
        <v>4.9089999999999998</v>
      </c>
      <c r="Q39" s="2">
        <v>0.41866785699999998</v>
      </c>
      <c r="R39" s="2" t="s">
        <v>103</v>
      </c>
      <c r="S39" s="2">
        <v>9.81</v>
      </c>
      <c r="T39" s="2" t="s">
        <v>96</v>
      </c>
      <c r="U39" s="2">
        <v>3</v>
      </c>
      <c r="V39" s="2" t="s">
        <v>97</v>
      </c>
      <c r="W39" s="21" t="s">
        <v>359</v>
      </c>
      <c r="X39" s="21" t="s">
        <v>341</v>
      </c>
      <c r="Y39" s="21" t="s">
        <v>341</v>
      </c>
      <c r="Z39" s="21" t="s">
        <v>358</v>
      </c>
      <c r="AA39" s="21" t="s">
        <v>360</v>
      </c>
      <c r="AB39" t="str">
        <f t="shared" si="0"/>
        <v>miu=0.1@Ile@C_limit@C_N_ratio=3</v>
      </c>
    </row>
    <row r="40" spans="1:28">
      <c r="A40">
        <v>39</v>
      </c>
      <c r="B40" s="2">
        <v>0.1</v>
      </c>
      <c r="C40">
        <v>1.571</v>
      </c>
      <c r="G40">
        <v>3.0830000000000002</v>
      </c>
      <c r="H40">
        <v>3.0830000000000002</v>
      </c>
      <c r="I40">
        <v>6.4504826000000001E-2</v>
      </c>
      <c r="J40">
        <v>0</v>
      </c>
      <c r="K40">
        <v>0.15037355499999999</v>
      </c>
      <c r="L40">
        <v>0</v>
      </c>
      <c r="M40">
        <v>5.596462E-3</v>
      </c>
      <c r="N40">
        <v>4.9610000000000003</v>
      </c>
      <c r="O40">
        <v>4.5490000000000004</v>
      </c>
      <c r="Q40" s="2">
        <v>0.33150882100000001</v>
      </c>
      <c r="R40" s="2" t="s">
        <v>103</v>
      </c>
      <c r="S40" s="2">
        <v>9.81</v>
      </c>
      <c r="T40" s="2" t="s">
        <v>96</v>
      </c>
      <c r="U40" s="2">
        <v>3</v>
      </c>
      <c r="V40" s="2" t="s">
        <v>97</v>
      </c>
      <c r="W40" s="21" t="s">
        <v>359</v>
      </c>
      <c r="X40" s="21" t="s">
        <v>341</v>
      </c>
      <c r="Y40" s="21" t="s">
        <v>341</v>
      </c>
      <c r="Z40" s="21" t="s">
        <v>358</v>
      </c>
      <c r="AA40" s="21" t="s">
        <v>360</v>
      </c>
      <c r="AB40" t="str">
        <f t="shared" si="0"/>
        <v>miu=0.1@Ile@C_limit@C_N_ratio=3</v>
      </c>
    </row>
    <row r="41" spans="1:28">
      <c r="A41">
        <v>40</v>
      </c>
      <c r="B41" s="2">
        <v>0.1</v>
      </c>
      <c r="C41">
        <v>1.4510000000000001</v>
      </c>
      <c r="G41">
        <v>0.29199999999999998</v>
      </c>
      <c r="H41">
        <v>0.29199999999999998</v>
      </c>
      <c r="I41">
        <v>0.16597783599999999</v>
      </c>
      <c r="J41">
        <v>6.6479359000000002E-2</v>
      </c>
      <c r="K41">
        <v>0.60819290000000004</v>
      </c>
      <c r="L41">
        <v>0</v>
      </c>
      <c r="M41">
        <v>2.5725250000000002E-2</v>
      </c>
      <c r="N41">
        <v>4.18</v>
      </c>
      <c r="O41">
        <v>4.0129999999999999</v>
      </c>
      <c r="Q41" s="2">
        <v>0.43998185699999998</v>
      </c>
      <c r="R41" s="2" t="s">
        <v>103</v>
      </c>
      <c r="S41" s="2">
        <v>0.98</v>
      </c>
      <c r="T41" s="2" t="s">
        <v>94</v>
      </c>
      <c r="U41" s="2">
        <v>30</v>
      </c>
      <c r="V41" s="2" t="s">
        <v>97</v>
      </c>
      <c r="W41" s="21" t="s">
        <v>359</v>
      </c>
      <c r="X41" s="21" t="s">
        <v>341</v>
      </c>
      <c r="Y41" s="21" t="s">
        <v>341</v>
      </c>
      <c r="Z41" s="21" t="s">
        <v>358</v>
      </c>
      <c r="AA41" s="21" t="s">
        <v>360</v>
      </c>
      <c r="AB41" t="str">
        <f t="shared" si="0"/>
        <v>miu=0.1@Ile@N_limit@C_N_ratio=30</v>
      </c>
    </row>
    <row r="42" spans="1:28">
      <c r="A42">
        <v>41</v>
      </c>
      <c r="B42" s="2">
        <v>0.1</v>
      </c>
      <c r="C42">
        <v>1.7090000000000001</v>
      </c>
      <c r="G42">
        <v>0.33900000000000002</v>
      </c>
      <c r="H42">
        <v>0.33900000000000002</v>
      </c>
      <c r="I42">
        <v>6.0174350000000001E-2</v>
      </c>
      <c r="J42">
        <v>7.8079274000000004E-2</v>
      </c>
      <c r="K42">
        <v>0.66867871400000001</v>
      </c>
      <c r="L42">
        <v>0</v>
      </c>
      <c r="M42">
        <v>3.5868012999999997E-2</v>
      </c>
      <c r="N42">
        <v>4.9020000000000001</v>
      </c>
      <c r="O42">
        <v>4.45</v>
      </c>
      <c r="Q42" s="2">
        <v>0.448355214</v>
      </c>
      <c r="R42" s="2" t="s">
        <v>103</v>
      </c>
      <c r="S42" s="2">
        <v>0.98</v>
      </c>
      <c r="T42" s="2" t="s">
        <v>94</v>
      </c>
      <c r="U42" s="2">
        <v>30</v>
      </c>
      <c r="V42" s="2" t="s">
        <v>97</v>
      </c>
      <c r="W42" s="21" t="s">
        <v>359</v>
      </c>
      <c r="X42" s="21" t="s">
        <v>341</v>
      </c>
      <c r="Y42" s="21" t="s">
        <v>341</v>
      </c>
      <c r="Z42" s="21" t="s">
        <v>358</v>
      </c>
      <c r="AA42" s="21" t="s">
        <v>360</v>
      </c>
      <c r="AB42" t="str">
        <f t="shared" si="0"/>
        <v>miu=0.1@Ile@N_limit@C_N_ratio=30</v>
      </c>
    </row>
    <row r="43" spans="1:28">
      <c r="A43">
        <v>42</v>
      </c>
      <c r="B43" s="2">
        <v>0.1</v>
      </c>
      <c r="C43">
        <v>1.6220000000000001</v>
      </c>
      <c r="G43">
        <v>0.32900000000000001</v>
      </c>
      <c r="H43">
        <v>0.32900000000000001</v>
      </c>
      <c r="I43">
        <v>0.18362290100000001</v>
      </c>
      <c r="J43">
        <v>0.16825845</v>
      </c>
      <c r="K43">
        <v>0.92271634599999997</v>
      </c>
      <c r="L43">
        <v>0</v>
      </c>
      <c r="M43">
        <v>4.8272586999999999E-2</v>
      </c>
      <c r="N43">
        <v>4.5620000000000003</v>
      </c>
      <c r="O43">
        <v>4.2300000000000004</v>
      </c>
      <c r="Q43" s="2">
        <v>0.42361575000000001</v>
      </c>
      <c r="R43" s="2" t="s">
        <v>103</v>
      </c>
      <c r="S43" s="2">
        <v>0.98</v>
      </c>
      <c r="T43" s="2" t="s">
        <v>94</v>
      </c>
      <c r="U43" s="2">
        <v>30</v>
      </c>
      <c r="V43" s="2" t="s">
        <v>97</v>
      </c>
      <c r="W43" s="21" t="s">
        <v>359</v>
      </c>
      <c r="X43" s="21" t="s">
        <v>341</v>
      </c>
      <c r="Y43" s="21" t="s">
        <v>341</v>
      </c>
      <c r="Z43" s="21" t="s">
        <v>358</v>
      </c>
      <c r="AA43" s="21" t="s">
        <v>360</v>
      </c>
      <c r="AB43" t="str">
        <f t="shared" si="0"/>
        <v>miu=0.1@Ile@N_limit@C_N_ratio=30</v>
      </c>
    </row>
  </sheetData>
  <autoFilter ref="B1:B43" xr:uid="{00000000-0001-0000-00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2DBA3-3F2C-254D-A3E7-B7A29892530C}">
  <dimension ref="A1:AE13"/>
  <sheetViews>
    <sheetView workbookViewId="0">
      <selection activeCell="A13" sqref="A1:XFD13"/>
    </sheetView>
  </sheetViews>
  <sheetFormatPr baseColWidth="10" defaultRowHeight="16"/>
  <cols>
    <col min="1" max="1" width="34.33203125" bestFit="1" customWidth="1"/>
    <col min="2" max="7" width="19.33203125" bestFit="1" customWidth="1"/>
    <col min="8" max="13" width="19" bestFit="1" customWidth="1"/>
    <col min="14" max="19" width="23" bestFit="1" customWidth="1"/>
    <col min="20" max="22" width="20.33203125" bestFit="1" customWidth="1"/>
    <col min="23" max="25" width="20" bestFit="1" customWidth="1"/>
    <col min="26" max="28" width="24" bestFit="1" customWidth="1"/>
    <col min="29" max="31" width="21.5" bestFit="1" customWidth="1"/>
  </cols>
  <sheetData>
    <row r="1" spans="1:31" s="8" customFormat="1">
      <c r="A1" s="16" t="s">
        <v>311</v>
      </c>
      <c r="B1" s="16" t="s">
        <v>129</v>
      </c>
      <c r="C1" s="16" t="s">
        <v>130</v>
      </c>
      <c r="D1" s="16" t="s">
        <v>131</v>
      </c>
      <c r="E1" s="16" t="s">
        <v>132</v>
      </c>
      <c r="F1" s="16" t="s">
        <v>133</v>
      </c>
      <c r="G1" s="16" t="s">
        <v>134</v>
      </c>
      <c r="H1" s="16" t="s">
        <v>135</v>
      </c>
      <c r="I1" s="16" t="s">
        <v>136</v>
      </c>
      <c r="J1" s="16" t="s">
        <v>137</v>
      </c>
      <c r="K1" s="16" t="s">
        <v>138</v>
      </c>
      <c r="L1" s="16" t="s">
        <v>139</v>
      </c>
      <c r="M1" s="16" t="s">
        <v>140</v>
      </c>
      <c r="N1" s="16" t="s">
        <v>141</v>
      </c>
      <c r="O1" s="16" t="s">
        <v>142</v>
      </c>
      <c r="P1" s="16" t="s">
        <v>143</v>
      </c>
      <c r="Q1" s="16" t="s">
        <v>144</v>
      </c>
      <c r="R1" s="16" t="s">
        <v>145</v>
      </c>
      <c r="S1" s="16" t="s">
        <v>146</v>
      </c>
      <c r="T1" s="16" t="s">
        <v>147</v>
      </c>
      <c r="U1" s="16" t="s">
        <v>148</v>
      </c>
      <c r="V1" s="16" t="s">
        <v>149</v>
      </c>
      <c r="W1" s="16" t="s">
        <v>150</v>
      </c>
      <c r="X1" s="16" t="s">
        <v>151</v>
      </c>
      <c r="Y1" s="16" t="s">
        <v>152</v>
      </c>
      <c r="Z1" s="16" t="s">
        <v>153</v>
      </c>
      <c r="AA1" s="16" t="s">
        <v>154</v>
      </c>
      <c r="AB1" s="16" t="s">
        <v>155</v>
      </c>
      <c r="AC1" s="16" t="s">
        <v>156</v>
      </c>
      <c r="AD1" s="16" t="s">
        <v>157</v>
      </c>
      <c r="AE1" s="16" t="s">
        <v>158</v>
      </c>
    </row>
    <row r="2" spans="1:31">
      <c r="A2" s="16" t="s">
        <v>312</v>
      </c>
      <c r="B2" s="17">
        <v>1</v>
      </c>
      <c r="C2" s="17">
        <v>2</v>
      </c>
      <c r="D2" s="17">
        <v>3</v>
      </c>
      <c r="E2" s="17">
        <v>1</v>
      </c>
      <c r="F2" s="17">
        <v>2</v>
      </c>
      <c r="G2" s="17">
        <v>3</v>
      </c>
      <c r="H2" s="18">
        <v>1</v>
      </c>
      <c r="I2" s="18">
        <v>2</v>
      </c>
      <c r="J2" s="18">
        <v>3</v>
      </c>
      <c r="K2" s="18">
        <v>1</v>
      </c>
      <c r="L2" s="18">
        <v>2</v>
      </c>
      <c r="M2" s="18">
        <v>3</v>
      </c>
      <c r="N2" s="18">
        <v>1</v>
      </c>
      <c r="O2" s="18">
        <v>2</v>
      </c>
      <c r="P2" s="18">
        <v>3</v>
      </c>
      <c r="Q2" s="18">
        <v>1</v>
      </c>
      <c r="R2" s="18">
        <v>2</v>
      </c>
      <c r="S2" s="18">
        <v>3</v>
      </c>
      <c r="T2" s="18">
        <v>1</v>
      </c>
      <c r="U2" s="18">
        <v>2</v>
      </c>
      <c r="V2" s="18">
        <v>3</v>
      </c>
      <c r="W2" s="18">
        <v>1</v>
      </c>
      <c r="X2" s="18">
        <v>2</v>
      </c>
      <c r="Y2" s="18">
        <v>3</v>
      </c>
      <c r="Z2" s="18">
        <v>1</v>
      </c>
      <c r="AA2" s="18">
        <v>2</v>
      </c>
      <c r="AB2" s="18">
        <v>3</v>
      </c>
      <c r="AC2" s="18">
        <v>1</v>
      </c>
      <c r="AD2" s="18">
        <v>2</v>
      </c>
      <c r="AE2" s="18">
        <v>3</v>
      </c>
    </row>
    <row r="3" spans="1:31">
      <c r="A3" s="16" t="s">
        <v>313</v>
      </c>
      <c r="B3" s="17">
        <v>2</v>
      </c>
      <c r="C3" s="17">
        <v>2</v>
      </c>
      <c r="D3" s="17">
        <v>2</v>
      </c>
      <c r="E3" s="17">
        <v>5</v>
      </c>
      <c r="F3" s="17">
        <v>5</v>
      </c>
      <c r="G3" s="17">
        <v>5</v>
      </c>
      <c r="H3" s="17">
        <v>37</v>
      </c>
      <c r="I3" s="17">
        <v>37</v>
      </c>
      <c r="J3" s="17">
        <v>37</v>
      </c>
      <c r="K3" s="17">
        <v>40</v>
      </c>
      <c r="L3" s="17">
        <v>40</v>
      </c>
      <c r="M3" s="17">
        <v>40</v>
      </c>
      <c r="N3" s="17">
        <v>60</v>
      </c>
      <c r="O3" s="17">
        <v>60</v>
      </c>
      <c r="P3" s="17">
        <v>60</v>
      </c>
      <c r="Q3" s="17">
        <v>68</v>
      </c>
      <c r="R3" s="17">
        <v>68</v>
      </c>
      <c r="S3" s="17">
        <v>68</v>
      </c>
      <c r="T3" s="17">
        <v>93</v>
      </c>
      <c r="U3" s="17">
        <v>93</v>
      </c>
      <c r="V3" s="17">
        <v>93</v>
      </c>
      <c r="W3" s="17">
        <v>109</v>
      </c>
      <c r="X3" s="17">
        <v>115</v>
      </c>
      <c r="Y3" s="17">
        <v>103</v>
      </c>
      <c r="Z3" s="17">
        <v>138</v>
      </c>
      <c r="AA3" s="17">
        <v>138</v>
      </c>
      <c r="AB3" s="17">
        <v>138</v>
      </c>
      <c r="AC3" s="17">
        <v>158</v>
      </c>
      <c r="AD3" s="17">
        <v>158</v>
      </c>
      <c r="AE3" s="17">
        <v>158</v>
      </c>
    </row>
    <row r="4" spans="1:31">
      <c r="A4" s="16" t="s">
        <v>314</v>
      </c>
      <c r="B4" s="17">
        <v>0</v>
      </c>
      <c r="C4" s="17">
        <v>0</v>
      </c>
      <c r="D4" s="17">
        <v>0</v>
      </c>
      <c r="E4" s="17">
        <v>1</v>
      </c>
      <c r="F4" s="17">
        <v>1</v>
      </c>
      <c r="G4" s="17">
        <v>1</v>
      </c>
      <c r="H4" s="17">
        <v>2</v>
      </c>
      <c r="I4" s="17">
        <v>2</v>
      </c>
      <c r="J4" s="17">
        <v>2</v>
      </c>
      <c r="K4" s="17">
        <v>3</v>
      </c>
      <c r="L4" s="17">
        <v>3</v>
      </c>
      <c r="M4" s="17">
        <v>3</v>
      </c>
      <c r="N4" s="17">
        <v>4</v>
      </c>
      <c r="O4" s="17">
        <v>4</v>
      </c>
      <c r="P4" s="17">
        <v>4</v>
      </c>
      <c r="Q4" s="17">
        <v>5</v>
      </c>
      <c r="R4" s="17">
        <v>5</v>
      </c>
      <c r="S4" s="17">
        <v>5</v>
      </c>
      <c r="T4" s="17">
        <v>6</v>
      </c>
      <c r="U4" s="17">
        <v>6</v>
      </c>
      <c r="V4" s="17">
        <v>6</v>
      </c>
      <c r="W4" s="17">
        <v>7</v>
      </c>
      <c r="X4" s="17">
        <v>7</v>
      </c>
      <c r="Y4" s="17">
        <v>7</v>
      </c>
      <c r="Z4" s="17">
        <v>8</v>
      </c>
      <c r="AA4" s="17">
        <v>8</v>
      </c>
      <c r="AB4" s="17">
        <v>8</v>
      </c>
      <c r="AC4" s="17">
        <v>9</v>
      </c>
      <c r="AD4" s="17">
        <v>9</v>
      </c>
      <c r="AE4" s="17">
        <v>9</v>
      </c>
    </row>
    <row r="5" spans="1:31">
      <c r="A5" s="16" t="s">
        <v>315</v>
      </c>
      <c r="B5" s="17">
        <v>97</v>
      </c>
      <c r="C5" s="17">
        <v>89</v>
      </c>
      <c r="D5" s="17">
        <v>97</v>
      </c>
      <c r="E5" s="17">
        <v>95</v>
      </c>
      <c r="F5" s="17">
        <v>89</v>
      </c>
      <c r="G5" s="17">
        <v>95</v>
      </c>
      <c r="H5" s="17">
        <v>16</v>
      </c>
      <c r="I5" s="17">
        <v>14</v>
      </c>
      <c r="J5" s="17">
        <v>8</v>
      </c>
      <c r="K5" s="17">
        <v>9</v>
      </c>
      <c r="L5" s="17">
        <v>3</v>
      </c>
      <c r="M5" s="17">
        <v>11</v>
      </c>
      <c r="N5" s="17">
        <v>6</v>
      </c>
      <c r="O5" s="17">
        <v>20</v>
      </c>
      <c r="P5" s="17">
        <v>20</v>
      </c>
      <c r="Q5" s="17">
        <v>7</v>
      </c>
      <c r="R5" s="17">
        <v>22</v>
      </c>
      <c r="S5" s="17">
        <v>32</v>
      </c>
      <c r="T5" s="17">
        <v>71</v>
      </c>
      <c r="U5" s="17">
        <v>72</v>
      </c>
      <c r="V5" s="17">
        <v>67</v>
      </c>
      <c r="W5" s="17">
        <v>27</v>
      </c>
      <c r="X5" s="17">
        <v>15</v>
      </c>
      <c r="Y5" s="17">
        <v>40</v>
      </c>
      <c r="Z5" s="17">
        <v>15</v>
      </c>
      <c r="AA5" s="17">
        <v>24</v>
      </c>
      <c r="AB5" s="17">
        <v>35</v>
      </c>
      <c r="AC5" s="17">
        <v>81</v>
      </c>
      <c r="AD5" s="17">
        <v>72</v>
      </c>
      <c r="AE5" s="17">
        <v>73</v>
      </c>
    </row>
    <row r="6" spans="1:31">
      <c r="A6" s="16" t="s">
        <v>316</v>
      </c>
      <c r="B6" s="17">
        <v>3</v>
      </c>
      <c r="C6" s="17">
        <v>9</v>
      </c>
      <c r="D6" s="17">
        <v>3</v>
      </c>
      <c r="E6" s="17">
        <v>3</v>
      </c>
      <c r="F6" s="17">
        <v>11</v>
      </c>
      <c r="G6" s="17">
        <v>5</v>
      </c>
      <c r="H6" s="17">
        <v>82</v>
      </c>
      <c r="I6" s="17">
        <v>66</v>
      </c>
      <c r="J6" s="17">
        <v>82</v>
      </c>
      <c r="K6" s="17">
        <v>83</v>
      </c>
      <c r="L6" s="17">
        <v>57</v>
      </c>
      <c r="M6" s="17">
        <v>65</v>
      </c>
      <c r="N6" s="17">
        <v>28</v>
      </c>
      <c r="O6" s="17">
        <v>4</v>
      </c>
      <c r="P6" s="17">
        <v>4</v>
      </c>
      <c r="Q6" s="17">
        <v>9</v>
      </c>
      <c r="R6" s="17">
        <v>12</v>
      </c>
      <c r="S6" s="17">
        <v>18</v>
      </c>
      <c r="T6" s="17">
        <v>9</v>
      </c>
      <c r="U6" s="17">
        <v>10</v>
      </c>
      <c r="V6" s="17">
        <v>11</v>
      </c>
      <c r="W6" s="17">
        <v>55</v>
      </c>
      <c r="X6" s="17">
        <v>53</v>
      </c>
      <c r="Y6" s="17">
        <v>47</v>
      </c>
      <c r="Z6" s="17">
        <v>27</v>
      </c>
      <c r="AA6" s="17">
        <v>18</v>
      </c>
      <c r="AB6" s="17">
        <v>17</v>
      </c>
      <c r="AC6" s="17">
        <v>9</v>
      </c>
      <c r="AD6" s="17">
        <v>4</v>
      </c>
      <c r="AE6" s="17">
        <v>15</v>
      </c>
    </row>
    <row r="7" spans="1:31">
      <c r="A7" s="16" t="s">
        <v>317</v>
      </c>
      <c r="B7" s="17">
        <v>0</v>
      </c>
      <c r="C7" s="17">
        <v>2</v>
      </c>
      <c r="D7" s="17">
        <v>0</v>
      </c>
      <c r="E7" s="17">
        <v>2</v>
      </c>
      <c r="F7" s="17">
        <v>0</v>
      </c>
      <c r="G7" s="17">
        <v>0</v>
      </c>
      <c r="H7" s="17">
        <v>2</v>
      </c>
      <c r="I7" s="17">
        <v>20</v>
      </c>
      <c r="J7" s="17">
        <v>10</v>
      </c>
      <c r="K7" s="17">
        <v>8</v>
      </c>
      <c r="L7" s="17">
        <v>40</v>
      </c>
      <c r="M7" s="17">
        <v>24</v>
      </c>
      <c r="N7" s="17">
        <v>66</v>
      </c>
      <c r="O7" s="17">
        <v>76</v>
      </c>
      <c r="P7" s="17">
        <v>76</v>
      </c>
      <c r="Q7" s="17">
        <v>84</v>
      </c>
      <c r="R7" s="17">
        <v>66</v>
      </c>
      <c r="S7" s="17">
        <v>50</v>
      </c>
      <c r="T7" s="17">
        <v>20</v>
      </c>
      <c r="U7" s="17">
        <v>18</v>
      </c>
      <c r="V7" s="17">
        <v>22</v>
      </c>
      <c r="W7" s="17">
        <v>18</v>
      </c>
      <c r="X7" s="17">
        <v>32</v>
      </c>
      <c r="Y7" s="17">
        <v>13</v>
      </c>
      <c r="Z7" s="17">
        <v>58</v>
      </c>
      <c r="AA7" s="17">
        <v>58</v>
      </c>
      <c r="AB7" s="17">
        <v>48</v>
      </c>
      <c r="AC7" s="17">
        <v>10</v>
      </c>
      <c r="AD7" s="17">
        <v>24</v>
      </c>
      <c r="AE7" s="17">
        <v>12</v>
      </c>
    </row>
    <row r="8" spans="1:31">
      <c r="A8" s="16" t="s">
        <v>318</v>
      </c>
      <c r="B8" s="17" t="s">
        <v>319</v>
      </c>
      <c r="C8" s="17" t="s">
        <v>319</v>
      </c>
      <c r="D8" s="17" t="s">
        <v>319</v>
      </c>
      <c r="E8" s="17" t="s">
        <v>319</v>
      </c>
      <c r="F8" s="17" t="s">
        <v>319</v>
      </c>
      <c r="G8" s="17" t="s">
        <v>319</v>
      </c>
      <c r="H8" s="17" t="s">
        <v>320</v>
      </c>
      <c r="I8" s="17" t="s">
        <v>320</v>
      </c>
      <c r="J8" s="17" t="s">
        <v>320</v>
      </c>
      <c r="K8" s="17" t="s">
        <v>320</v>
      </c>
      <c r="L8" s="17" t="s">
        <v>320</v>
      </c>
      <c r="M8" s="17" t="s">
        <v>320</v>
      </c>
      <c r="N8" s="17" t="s">
        <v>321</v>
      </c>
      <c r="O8" s="17" t="s">
        <v>321</v>
      </c>
      <c r="P8" s="17" t="s">
        <v>321</v>
      </c>
      <c r="Q8" s="17" t="s">
        <v>321</v>
      </c>
      <c r="R8" s="17" t="s">
        <v>321</v>
      </c>
      <c r="S8" s="17" t="s">
        <v>321</v>
      </c>
      <c r="T8" s="17" t="s">
        <v>319</v>
      </c>
      <c r="U8" s="17" t="s">
        <v>319</v>
      </c>
      <c r="V8" s="17" t="s">
        <v>319</v>
      </c>
      <c r="W8" s="17" t="s">
        <v>320</v>
      </c>
      <c r="X8" s="17" t="s">
        <v>320</v>
      </c>
      <c r="Y8" s="17" t="s">
        <v>320</v>
      </c>
      <c r="Z8" s="17" t="s">
        <v>321</v>
      </c>
      <c r="AA8" s="17" t="s">
        <v>321</v>
      </c>
      <c r="AB8" s="17" t="s">
        <v>321</v>
      </c>
      <c r="AC8" s="17" t="s">
        <v>319</v>
      </c>
      <c r="AD8" s="17" t="s">
        <v>319</v>
      </c>
      <c r="AE8" s="17" t="s">
        <v>319</v>
      </c>
    </row>
    <row r="9" spans="1:31">
      <c r="A9" s="17"/>
      <c r="B9" s="17" t="s">
        <v>341</v>
      </c>
      <c r="C9" s="17" t="s">
        <v>341</v>
      </c>
      <c r="D9" s="17" t="s">
        <v>341</v>
      </c>
      <c r="E9" s="17" t="s">
        <v>341</v>
      </c>
      <c r="F9" s="17" t="s">
        <v>341</v>
      </c>
      <c r="G9" s="17" t="s">
        <v>341</v>
      </c>
      <c r="H9" s="17" t="s">
        <v>341</v>
      </c>
      <c r="I9" s="17" t="s">
        <v>341</v>
      </c>
      <c r="J9" s="17" t="s">
        <v>341</v>
      </c>
      <c r="K9" s="17" t="s">
        <v>341</v>
      </c>
      <c r="L9" s="17" t="s">
        <v>341</v>
      </c>
      <c r="M9" s="17" t="s">
        <v>341</v>
      </c>
      <c r="N9" s="17" t="s">
        <v>341</v>
      </c>
      <c r="O9" s="17" t="s">
        <v>341</v>
      </c>
      <c r="P9" s="17" t="s">
        <v>341</v>
      </c>
      <c r="Q9" s="17" t="s">
        <v>341</v>
      </c>
      <c r="R9" s="17" t="s">
        <v>341</v>
      </c>
      <c r="S9" s="17" t="s">
        <v>341</v>
      </c>
      <c r="T9" s="17" t="s">
        <v>341</v>
      </c>
      <c r="U9" s="17" t="s">
        <v>341</v>
      </c>
      <c r="V9" s="17" t="s">
        <v>341</v>
      </c>
      <c r="W9" s="17" t="s">
        <v>341</v>
      </c>
      <c r="X9" s="17" t="s">
        <v>341</v>
      </c>
      <c r="Y9" s="17" t="s">
        <v>341</v>
      </c>
      <c r="Z9" s="17" t="s">
        <v>341</v>
      </c>
      <c r="AA9" s="17" t="s">
        <v>341</v>
      </c>
      <c r="AB9" s="17" t="s">
        <v>341</v>
      </c>
      <c r="AC9" s="17" t="s">
        <v>341</v>
      </c>
      <c r="AD9" s="17" t="s">
        <v>341</v>
      </c>
      <c r="AE9" s="17" t="s">
        <v>341</v>
      </c>
    </row>
    <row r="10" spans="1:31">
      <c r="A10" s="17"/>
      <c r="B10" s="17" t="s">
        <v>342</v>
      </c>
      <c r="C10" s="17" t="s">
        <v>342</v>
      </c>
      <c r="D10" s="17" t="s">
        <v>342</v>
      </c>
      <c r="E10" s="17" t="s">
        <v>342</v>
      </c>
      <c r="F10" s="17" t="s">
        <v>342</v>
      </c>
      <c r="G10" s="17" t="s">
        <v>342</v>
      </c>
      <c r="H10" s="17" t="s">
        <v>342</v>
      </c>
      <c r="I10" s="17" t="s">
        <v>342</v>
      </c>
      <c r="J10" s="17" t="s">
        <v>342</v>
      </c>
      <c r="K10" s="17" t="s">
        <v>342</v>
      </c>
      <c r="L10" s="17" t="s">
        <v>342</v>
      </c>
      <c r="M10" s="17" t="s">
        <v>342</v>
      </c>
      <c r="N10" s="17" t="s">
        <v>342</v>
      </c>
      <c r="O10" s="17" t="s">
        <v>342</v>
      </c>
      <c r="P10" s="17" t="s">
        <v>342</v>
      </c>
      <c r="Q10" s="17" t="s">
        <v>342</v>
      </c>
      <c r="R10" s="17" t="s">
        <v>342</v>
      </c>
      <c r="S10" s="17" t="s">
        <v>342</v>
      </c>
      <c r="T10" s="17" t="s">
        <v>342</v>
      </c>
      <c r="U10" s="17" t="s">
        <v>342</v>
      </c>
      <c r="V10" s="17" t="s">
        <v>342</v>
      </c>
      <c r="W10" s="17" t="s">
        <v>342</v>
      </c>
      <c r="X10" s="17" t="s">
        <v>342</v>
      </c>
      <c r="Y10" s="17" t="s">
        <v>342</v>
      </c>
      <c r="Z10" s="17" t="s">
        <v>342</v>
      </c>
      <c r="AA10" s="17" t="s">
        <v>342</v>
      </c>
      <c r="AB10" s="17" t="s">
        <v>342</v>
      </c>
      <c r="AC10" s="17" t="s">
        <v>342</v>
      </c>
      <c r="AD10" s="17" t="s">
        <v>342</v>
      </c>
      <c r="AE10" s="17" t="s">
        <v>342</v>
      </c>
    </row>
    <row r="11" spans="1:31">
      <c r="A11" s="17"/>
      <c r="B11" s="17" t="str">
        <f>B8&amp;B9&amp;B3&amp;B10</f>
        <v>G1@2min</v>
      </c>
      <c r="C11" s="17" t="str">
        <f t="shared" ref="C11:N11" si="0">C8&amp;C9&amp;C3&amp;C10</f>
        <v>G1@2min</v>
      </c>
      <c r="D11" s="17" t="str">
        <f t="shared" si="0"/>
        <v>G1@2min</v>
      </c>
      <c r="E11" s="17" t="str">
        <f t="shared" si="0"/>
        <v>G1@5min</v>
      </c>
      <c r="F11" s="17" t="str">
        <f t="shared" si="0"/>
        <v>G1@5min</v>
      </c>
      <c r="G11" s="17" t="str">
        <f t="shared" si="0"/>
        <v>G1@5min</v>
      </c>
      <c r="H11" s="17" t="str">
        <f t="shared" si="0"/>
        <v>S@37min</v>
      </c>
      <c r="I11" s="17" t="str">
        <f t="shared" si="0"/>
        <v>S@37min</v>
      </c>
      <c r="J11" s="17" t="str">
        <f t="shared" si="0"/>
        <v>S@37min</v>
      </c>
      <c r="K11" s="17" t="str">
        <f t="shared" si="0"/>
        <v>S@40min</v>
      </c>
      <c r="L11" s="17" t="str">
        <f t="shared" si="0"/>
        <v>S@40min</v>
      </c>
      <c r="M11" s="17" t="str">
        <f t="shared" si="0"/>
        <v>S@40min</v>
      </c>
      <c r="N11" s="17" t="str">
        <f t="shared" si="0"/>
        <v>G2/M@60min</v>
      </c>
      <c r="O11" s="17" t="str">
        <f>O8&amp;O9&amp;O3&amp;O10</f>
        <v>G2/M@60min</v>
      </c>
      <c r="P11" s="17" t="str">
        <f t="shared" ref="P11" si="1">P8&amp;P9&amp;P3&amp;P10</f>
        <v>G2/M@60min</v>
      </c>
      <c r="Q11" s="17" t="str">
        <f t="shared" ref="Q11" si="2">Q8&amp;Q9&amp;Q3&amp;Q10</f>
        <v>G2/M@68min</v>
      </c>
      <c r="R11" s="17" t="str">
        <f t="shared" ref="R11" si="3">R8&amp;R9&amp;R3&amp;R10</f>
        <v>G2/M@68min</v>
      </c>
      <c r="S11" s="17" t="str">
        <f t="shared" ref="S11" si="4">S8&amp;S9&amp;S3&amp;S10</f>
        <v>G2/M@68min</v>
      </c>
      <c r="T11" s="17" t="str">
        <f t="shared" ref="T11" si="5">T8&amp;T9&amp;T3&amp;T10</f>
        <v>G1@93min</v>
      </c>
      <c r="U11" s="17" t="str">
        <f>U8&amp;U9&amp;U3&amp;U10</f>
        <v>G1@93min</v>
      </c>
      <c r="V11" s="17" t="str">
        <f t="shared" ref="V11" si="6">V8&amp;V9&amp;V3&amp;V10</f>
        <v>G1@93min</v>
      </c>
      <c r="W11" s="17" t="str">
        <f t="shared" ref="W11" si="7">W8&amp;W9&amp;W3&amp;W10</f>
        <v>S@109min</v>
      </c>
      <c r="X11" s="17" t="str">
        <f t="shared" ref="X11" si="8">X8&amp;X9&amp;X3&amp;X10</f>
        <v>S@115min</v>
      </c>
      <c r="Y11" s="17" t="str">
        <f t="shared" ref="Y11" si="9">Y8&amp;Y9&amp;Y3&amp;Y10</f>
        <v>S@103min</v>
      </c>
      <c r="Z11" s="17" t="str">
        <f t="shared" ref="Z11" si="10">Z8&amp;Z9&amp;Z3&amp;Z10</f>
        <v>G2/M@138min</v>
      </c>
      <c r="AA11" s="17" t="str">
        <f t="shared" ref="AA11" si="11">AA8&amp;AA9&amp;AA3&amp;AA10</f>
        <v>G2/M@138min</v>
      </c>
      <c r="AB11" s="17" t="str">
        <f>AB8&amp;AB9&amp;AB3&amp;AB10</f>
        <v>G2/M@138min</v>
      </c>
      <c r="AC11" s="17" t="str">
        <f t="shared" ref="AC11" si="12">AC8&amp;AC9&amp;AC3&amp;AC10</f>
        <v>G1@158min</v>
      </c>
      <c r="AD11" s="17" t="str">
        <f t="shared" ref="AD11" si="13">AD8&amp;AD9&amp;AD3&amp;AD10</f>
        <v>G1@158min</v>
      </c>
      <c r="AE11" s="17" t="str">
        <f t="shared" ref="AE11" si="14">AE8&amp;AE9&amp;AE3&amp;AE10</f>
        <v>G1@158min</v>
      </c>
    </row>
    <row r="12" spans="1:31">
      <c r="B12" s="19" t="s">
        <v>343</v>
      </c>
      <c r="C12" s="19" t="s">
        <v>343</v>
      </c>
      <c r="D12" s="19" t="s">
        <v>343</v>
      </c>
      <c r="E12" s="19" t="s">
        <v>343</v>
      </c>
      <c r="F12" s="19" t="s">
        <v>343</v>
      </c>
      <c r="G12" s="19" t="s">
        <v>343</v>
      </c>
      <c r="H12" s="19" t="s">
        <v>343</v>
      </c>
      <c r="I12" s="19" t="s">
        <v>343</v>
      </c>
      <c r="J12" s="19" t="s">
        <v>343</v>
      </c>
      <c r="K12" s="19" t="s">
        <v>343</v>
      </c>
      <c r="L12" s="19" t="s">
        <v>343</v>
      </c>
      <c r="M12" s="19" t="s">
        <v>343</v>
      </c>
      <c r="N12" s="19" t="s">
        <v>343</v>
      </c>
      <c r="O12" s="19" t="s">
        <v>343</v>
      </c>
      <c r="P12" s="19" t="s">
        <v>343</v>
      </c>
      <c r="Q12" s="19" t="s">
        <v>343</v>
      </c>
      <c r="R12" s="19" t="s">
        <v>343</v>
      </c>
      <c r="S12" s="19" t="s">
        <v>343</v>
      </c>
      <c r="T12" s="19" t="s">
        <v>343</v>
      </c>
      <c r="U12" s="19" t="s">
        <v>343</v>
      </c>
      <c r="V12" s="19" t="s">
        <v>343</v>
      </c>
      <c r="W12" s="19" t="s">
        <v>343</v>
      </c>
      <c r="X12" s="19" t="s">
        <v>343</v>
      </c>
      <c r="Y12" s="19" t="s">
        <v>343</v>
      </c>
      <c r="Z12" s="19" t="s">
        <v>343</v>
      </c>
      <c r="AA12" s="19" t="s">
        <v>343</v>
      </c>
      <c r="AB12" s="19" t="s">
        <v>343</v>
      </c>
      <c r="AC12" s="19" t="s">
        <v>343</v>
      </c>
      <c r="AD12" s="19" t="s">
        <v>343</v>
      </c>
      <c r="AE12" s="19" t="s">
        <v>343</v>
      </c>
    </row>
    <row r="13" spans="1:31">
      <c r="B13" t="str">
        <f>B12&amp;B11</f>
        <v>cell_cycle@G1@2min</v>
      </c>
      <c r="C13" t="str">
        <f t="shared" ref="C13:G13" si="15">C12&amp;C11</f>
        <v>cell_cycle@G1@2min</v>
      </c>
      <c r="D13" t="str">
        <f t="shared" si="15"/>
        <v>cell_cycle@G1@2min</v>
      </c>
      <c r="E13" t="str">
        <f t="shared" si="15"/>
        <v>cell_cycle@G1@5min</v>
      </c>
      <c r="F13" t="str">
        <f t="shared" si="15"/>
        <v>cell_cycle@G1@5min</v>
      </c>
      <c r="G13" t="str">
        <f t="shared" si="15"/>
        <v>cell_cycle@G1@5min</v>
      </c>
      <c r="H13" t="str">
        <f t="shared" ref="H13" si="16">H12&amp;H11</f>
        <v>cell_cycle@S@37min</v>
      </c>
      <c r="I13" t="str">
        <f t="shared" ref="I13" si="17">I12&amp;I11</f>
        <v>cell_cycle@S@37min</v>
      </c>
      <c r="J13" t="str">
        <f t="shared" ref="J13" si="18">J12&amp;J11</f>
        <v>cell_cycle@S@37min</v>
      </c>
      <c r="K13" t="str">
        <f t="shared" ref="K13" si="19">K12&amp;K11</f>
        <v>cell_cycle@S@40min</v>
      </c>
      <c r="L13" t="str">
        <f t="shared" ref="L13" si="20">L12&amp;L11</f>
        <v>cell_cycle@S@40min</v>
      </c>
      <c r="M13" t="str">
        <f t="shared" ref="M13" si="21">M12&amp;M11</f>
        <v>cell_cycle@S@40min</v>
      </c>
      <c r="N13" t="str">
        <f t="shared" ref="N13" si="22">N12&amp;N11</f>
        <v>cell_cycle@G2/M@60min</v>
      </c>
      <c r="O13" t="str">
        <f t="shared" ref="O13" si="23">O12&amp;O11</f>
        <v>cell_cycle@G2/M@60min</v>
      </c>
      <c r="P13" t="str">
        <f t="shared" ref="P13" si="24">P12&amp;P11</f>
        <v>cell_cycle@G2/M@60min</v>
      </c>
      <c r="Q13" t="str">
        <f t="shared" ref="Q13" si="25">Q12&amp;Q11</f>
        <v>cell_cycle@G2/M@68min</v>
      </c>
      <c r="R13" t="str">
        <f t="shared" ref="R13" si="26">R12&amp;R11</f>
        <v>cell_cycle@G2/M@68min</v>
      </c>
      <c r="S13" t="str">
        <f t="shared" ref="S13" si="27">S12&amp;S11</f>
        <v>cell_cycle@G2/M@68min</v>
      </c>
      <c r="T13" t="str">
        <f t="shared" ref="T13" si="28">T12&amp;T11</f>
        <v>cell_cycle@G1@93min</v>
      </c>
      <c r="U13" t="str">
        <f t="shared" ref="U13" si="29">U12&amp;U11</f>
        <v>cell_cycle@G1@93min</v>
      </c>
      <c r="V13" t="str">
        <f t="shared" ref="V13" si="30">V12&amp;V11</f>
        <v>cell_cycle@G1@93min</v>
      </c>
      <c r="W13" t="str">
        <f t="shared" ref="W13" si="31">W12&amp;W11</f>
        <v>cell_cycle@S@109min</v>
      </c>
      <c r="X13" t="str">
        <f t="shared" ref="X13" si="32">X12&amp;X11</f>
        <v>cell_cycle@S@115min</v>
      </c>
      <c r="Y13" t="str">
        <f t="shared" ref="Y13" si="33">Y12&amp;Y11</f>
        <v>cell_cycle@S@103min</v>
      </c>
      <c r="Z13" t="str">
        <f t="shared" ref="Z13" si="34">Z12&amp;Z11</f>
        <v>cell_cycle@G2/M@138min</v>
      </c>
      <c r="AA13" t="str">
        <f t="shared" ref="AA13" si="35">AA12&amp;AA11</f>
        <v>cell_cycle@G2/M@138min</v>
      </c>
      <c r="AB13" t="str">
        <f t="shared" ref="AB13" si="36">AB12&amp;AB11</f>
        <v>cell_cycle@G2/M@138min</v>
      </c>
      <c r="AC13" t="str">
        <f t="shared" ref="AC13" si="37">AC12&amp;AC11</f>
        <v>cell_cycle@G1@158min</v>
      </c>
      <c r="AD13" t="str">
        <f t="shared" ref="AD13" si="38">AD12&amp;AD11</f>
        <v>cell_cycle@G1@158min</v>
      </c>
      <c r="AE13" t="str">
        <f t="shared" ref="AE13" si="39">AE12&amp;AE11</f>
        <v>cell_cycle@G1@158min</v>
      </c>
    </row>
  </sheetData>
  <hyperlinks>
    <hyperlink ref="B12" r:id="rId1" xr:uid="{282BE7E5-8567-8545-B662-B1060B18524D}"/>
    <hyperlink ref="C12" r:id="rId2" xr:uid="{26084165-4243-BF4C-8142-C343A363A5A6}"/>
    <hyperlink ref="D12" r:id="rId3" xr:uid="{FB8B2572-FAA7-1E42-ADC2-E78C32106645}"/>
    <hyperlink ref="E12" r:id="rId4" xr:uid="{886CC4B1-8BDF-0A4F-8575-CB34B71734C2}"/>
    <hyperlink ref="F12" r:id="rId5" xr:uid="{B4540F24-DD94-A44D-A287-654C15952820}"/>
    <hyperlink ref="G12" r:id="rId6" xr:uid="{2B3F4797-1669-C94A-B059-0F68CE6016FC}"/>
    <hyperlink ref="H12" r:id="rId7" xr:uid="{7BAF2EC7-57E5-7F47-992A-936FB86F1172}"/>
    <hyperlink ref="I12" r:id="rId8" xr:uid="{5EC3206F-603C-4B44-B208-4D2A775F73FA}"/>
    <hyperlink ref="J12" r:id="rId9" xr:uid="{CA760236-3F19-DD4D-A4C1-809FBFA849F0}"/>
    <hyperlink ref="K12" r:id="rId10" xr:uid="{CDFB0762-7A42-6141-BD1E-4E3CB3533D05}"/>
    <hyperlink ref="L12" r:id="rId11" xr:uid="{2790D182-2FFF-7A4D-9387-829BEAA6D794}"/>
    <hyperlink ref="M12" r:id="rId12" xr:uid="{6CCFBDB8-EE13-504A-B0BE-E6279A322EE0}"/>
    <hyperlink ref="N12" r:id="rId13" xr:uid="{507B7A40-CA92-2447-92C7-224BBE6A3FE5}"/>
    <hyperlink ref="O12" r:id="rId14" xr:uid="{91F2BBC6-7C34-7343-8E47-481092EC5748}"/>
    <hyperlink ref="P12" r:id="rId15" xr:uid="{230384A0-74C6-C749-9C32-62EDBA47DA3A}"/>
    <hyperlink ref="Q12" r:id="rId16" xr:uid="{55BC85BC-FE92-1044-B67B-A33582A18815}"/>
    <hyperlink ref="R12" r:id="rId17" xr:uid="{5CC1169C-69B8-0441-9FB5-3C583ECA3F8B}"/>
    <hyperlink ref="S12" r:id="rId18" xr:uid="{E8349EA2-F2DE-D347-B04C-45A609F172FB}"/>
    <hyperlink ref="T12" r:id="rId19" xr:uid="{291809D1-043E-594A-9C92-B740E3B9C592}"/>
    <hyperlink ref="U12" r:id="rId20" xr:uid="{1E02718B-3CAA-DE4C-924C-06799EADDFF6}"/>
    <hyperlink ref="V12" r:id="rId21" xr:uid="{7E6126EA-F40E-6E46-8479-2E5E44E9448B}"/>
    <hyperlink ref="W12" r:id="rId22" xr:uid="{93DC5591-65E1-1342-B6DF-726F3726CBD7}"/>
    <hyperlink ref="X12" r:id="rId23" xr:uid="{681911D3-B262-084A-8A8C-F486E825358B}"/>
    <hyperlink ref="Y12" r:id="rId24" xr:uid="{5D213AA3-CC28-1F47-B093-E36E70FB129B}"/>
    <hyperlink ref="Z12" r:id="rId25" xr:uid="{EDA8252D-AED7-9B48-8D70-DEB1825AB32E}"/>
    <hyperlink ref="AA12" r:id="rId26" xr:uid="{1CB3FBA1-36BB-D84A-91B9-E0D210B04C5E}"/>
    <hyperlink ref="AB12" r:id="rId27" xr:uid="{467081B1-3F92-6246-A2BB-3B16B2039B25}"/>
    <hyperlink ref="AC12" r:id="rId28" xr:uid="{23F4BE9B-43E0-774E-917A-0F2FC7F8BA04}"/>
    <hyperlink ref="AD12" r:id="rId29" xr:uid="{64C36200-00FB-0F4F-AA3B-CBC04005A58D}"/>
    <hyperlink ref="AE12" r:id="rId30" xr:uid="{2822D572-8218-374F-9031-F7A5917970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Sheet5</vt:lpstr>
      <vt:lpstr>Sheet4</vt:lpstr>
      <vt:lpstr>Sheet2</vt:lpstr>
      <vt:lpstr>Sheet3</vt:lpstr>
      <vt:lpstr>Supplementary File 1e vip</vt:lpstr>
      <vt:lpstr>cell cycle_kate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Hongzhong Lu</cp:lastModifiedBy>
  <dcterms:created xsi:type="dcterms:W3CDTF">2022-01-21T05:58:30Z</dcterms:created>
  <dcterms:modified xsi:type="dcterms:W3CDTF">2026-04-17T05:43:59Z</dcterms:modified>
</cp:coreProperties>
</file>