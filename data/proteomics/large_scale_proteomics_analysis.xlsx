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"/>
    </mc:Choice>
  </mc:AlternateContent>
  <xr:revisionPtr revIDLastSave="0" documentId="13_ncr:1_{71DCC93C-A30F-9B4B-9890-BE926D4EFD23}" xr6:coauthVersionLast="47" xr6:coauthVersionMax="47" xr10:uidLastSave="{00000000-0000-0000-0000-000000000000}"/>
  <bookViews>
    <workbookView xWindow="660" yWindow="500" windowWidth="25320" windowHeight="15240" activeTab="3" xr2:uid="{146E9A19-0D5E-054A-925D-06078A16C7CE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Sheet4!$B$1:$B$145</definedName>
    <definedName name="_xlchart.v1.0" hidden="1">Sheet2!$C$1</definedName>
    <definedName name="_xlchart.v1.1" hidden="1">Sheet2!$C$2:$C$68</definedName>
    <definedName name="_xlchart.v1.2" hidden="1">Sheet2!$C$1</definedName>
    <definedName name="_xlchart.v1.3" hidden="1">Sheet2!$C$2:$C$68</definedName>
    <definedName name="_xlchart.v1.4" hidden="1">Sheet2!$C$1</definedName>
    <definedName name="_xlchart.v1.5" hidden="1">Sheet2!$C$2:$C$68</definedName>
    <definedName name="_xlchart.v1.6" hidden="1">Sheet2!$C$1</definedName>
    <definedName name="_xlchart.v1.7" hidden="1">Sheet2!$C$2:$C$63</definedName>
    <definedName name="_xlchart.v1.8" hidden="1">Sheet2!$C$1</definedName>
    <definedName name="_xlchart.v1.9" hidden="1">Sheet2!$C$2:$C$68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29" i="4"/>
  <c r="D26" i="4"/>
  <c r="D39" i="4"/>
  <c r="D8" i="4"/>
  <c r="D16" i="4"/>
  <c r="D37" i="4"/>
  <c r="D38" i="4"/>
  <c r="D15" i="4"/>
  <c r="D9" i="4"/>
  <c r="D35" i="4"/>
  <c r="D40" i="4"/>
  <c r="D34" i="4"/>
  <c r="D41" i="4"/>
  <c r="D42" i="4"/>
  <c r="D10" i="4"/>
  <c r="D44" i="4"/>
  <c r="D43" i="4"/>
  <c r="D45" i="4"/>
  <c r="D17" i="4"/>
  <c r="D11" i="4"/>
  <c r="D14" i="4"/>
  <c r="D13" i="4"/>
  <c r="D18" i="4"/>
  <c r="D22" i="4"/>
  <c r="D20" i="4"/>
  <c r="D23" i="4"/>
  <c r="D12" i="4"/>
  <c r="D24" i="4"/>
  <c r="D19" i="4"/>
  <c r="D3" i="4"/>
  <c r="D21" i="4"/>
  <c r="D30" i="4"/>
  <c r="D4" i="4"/>
  <c r="D31" i="4"/>
  <c r="D33" i="4"/>
  <c r="D32" i="4"/>
  <c r="D27" i="4"/>
  <c r="D5" i="4"/>
  <c r="D6" i="4"/>
  <c r="D25" i="4"/>
  <c r="D36" i="4"/>
  <c r="D28" i="4"/>
  <c r="D2" i="4"/>
  <c r="C68" i="2"/>
  <c r="C67" i="2"/>
  <c r="C66" i="2"/>
  <c r="C65" i="2"/>
  <c r="C6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" i="2"/>
</calcChain>
</file>

<file path=xl/sharedStrings.xml><?xml version="1.0" encoding="utf-8"?>
<sst xmlns="http://schemas.openxmlformats.org/spreadsheetml/2006/main" count="218" uniqueCount="216">
  <si>
    <t>Core</t>
  </si>
  <si>
    <t>Mean</t>
  </si>
  <si>
    <t>Simulation from ETFL</t>
  </si>
  <si>
    <t>Number</t>
  </si>
  <si>
    <t>Total used enzyme</t>
  </si>
  <si>
    <t>condition</t>
  </si>
  <si>
    <t>correlation</t>
  </si>
  <si>
    <t>prot.1</t>
  </si>
  <si>
    <t>mmol/gDW_carl</t>
  </si>
  <si>
    <t>D=0.027_M</t>
  </si>
  <si>
    <t>prot.2</t>
  </si>
  <si>
    <t>Min_ave_aerobic(mmol/gDW)</t>
  </si>
  <si>
    <t>D=0.044_M</t>
  </si>
  <si>
    <t>prot.3</t>
  </si>
  <si>
    <t>Rich_ave_aerobic(mmol/gDW)</t>
  </si>
  <si>
    <t>D=0.102_M</t>
  </si>
  <si>
    <t>prot.4</t>
  </si>
  <si>
    <t>Min_ave_anaerobic(mmol/gDW)</t>
  </si>
  <si>
    <t>D=0.152_M</t>
  </si>
  <si>
    <t>prot.5</t>
  </si>
  <si>
    <t>Rich_ave_anaerobic(mmol/gDW)</t>
  </si>
  <si>
    <t>D=0.214_M</t>
  </si>
  <si>
    <t>prot.6</t>
  </si>
  <si>
    <t>maltose(mmol/gDW)</t>
  </si>
  <si>
    <t>D=0.254_M</t>
  </si>
  <si>
    <t>prot.7</t>
  </si>
  <si>
    <t>oleate(mmol/gDW)</t>
  </si>
  <si>
    <t>D=0.284_M</t>
  </si>
  <si>
    <t>prot.8</t>
  </si>
  <si>
    <t>fructose(mmol/gDW)</t>
  </si>
  <si>
    <t>D=0.334_M</t>
  </si>
  <si>
    <t>prot.9</t>
  </si>
  <si>
    <t>sucrose(mmol/gDW)</t>
  </si>
  <si>
    <t>D=0.379_M</t>
  </si>
  <si>
    <t>prot.10</t>
  </si>
  <si>
    <t>trehalose(mmol/gDW)</t>
  </si>
  <si>
    <t>prot.11</t>
  </si>
  <si>
    <t>lactate(mmol/gDW)</t>
  </si>
  <si>
    <t>prot.12</t>
  </si>
  <si>
    <t>acetate(mmol/gDW)</t>
  </si>
  <si>
    <t>prot.13</t>
  </si>
  <si>
    <t>pryuvate(mmol/gDW)</t>
  </si>
  <si>
    <t>prot.14</t>
  </si>
  <si>
    <t>glycerol(mmol/gDW)</t>
  </si>
  <si>
    <t>prot.15</t>
  </si>
  <si>
    <t>galactose(mmol/gDW)</t>
  </si>
  <si>
    <t>prot.16</t>
  </si>
  <si>
    <t>raffinose(mmol/gDW)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</si>
  <si>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</si>
  <si>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</si>
  <si>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</si>
  <si>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</si>
  <si>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</si>
  <si>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</si>
  <si>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</si>
  <si>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</si>
  <si>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</si>
  <si>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</si>
  <si>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</si>
  <si>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</si>
  <si>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</si>
  <si>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</si>
  <si>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</si>
  <si>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</si>
  <si>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</si>
  <si>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</si>
  <si>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</si>
  <si>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</si>
  <si>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</si>
  <si>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</si>
  <si>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</si>
  <si>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</si>
  <si>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</si>
  <si>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</si>
  <si>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compartment</t>
  </si>
  <si>
    <t>integral component of mitochondrial inner membrane</t>
  </si>
  <si>
    <t>mitochondrial intermembrane space</t>
  </si>
  <si>
    <t>integral component of membrane</t>
  </si>
  <si>
    <t>mitochondrial envelope</t>
  </si>
  <si>
    <t>mitochondrial nucleoid</t>
  </si>
  <si>
    <t>90S preribosome</t>
  </si>
  <si>
    <t>ribosome</t>
  </si>
  <si>
    <t>cytoplasm</t>
  </si>
  <si>
    <t>mitochondrial matrix</t>
  </si>
  <si>
    <t>nuclear periphery</t>
  </si>
  <si>
    <t>mitochondrion</t>
  </si>
  <si>
    <t>endoplasmic reticulum membrane</t>
  </si>
  <si>
    <t>site of polarized growth</t>
  </si>
  <si>
    <t>cell periphery</t>
  </si>
  <si>
    <t>peroxisome</t>
  </si>
  <si>
    <t>transport vesicle</t>
  </si>
  <si>
    <t>mitochondrial inner membrane</t>
  </si>
  <si>
    <t>nucleus</t>
  </si>
  <si>
    <t>cytosol</t>
  </si>
  <si>
    <t>nucleolus</t>
  </si>
  <si>
    <t>mitochondrial ribosome</t>
  </si>
  <si>
    <t>cellular bud</t>
  </si>
  <si>
    <t>endoplasmic reticulum</t>
  </si>
  <si>
    <t>fungal-type vacuole</t>
  </si>
  <si>
    <t>cytoplasmic stress granule</t>
  </si>
  <si>
    <t>cellular bud tip</t>
  </si>
  <si>
    <t>mitochondrial outer membrane</t>
  </si>
  <si>
    <t>integral component of endoplasmic reticulum membrane</t>
  </si>
  <si>
    <t>lipid droplet</t>
  </si>
  <si>
    <t>fungal-type vacuole lumen</t>
  </si>
  <si>
    <t>nuclear outer membrane-endoplasmic reticulum membrane network</t>
  </si>
  <si>
    <t>vacuole-mitochondrion membrane contact site</t>
  </si>
  <si>
    <t>plasma membrane</t>
  </si>
  <si>
    <t>cellular bud neck</t>
  </si>
  <si>
    <t>COPII-coated ER to Golgi transport vesicle</t>
  </si>
  <si>
    <t>Golgi apparatus</t>
  </si>
  <si>
    <t>extrinsic component of membrane</t>
  </si>
  <si>
    <t>nuclear envelope</t>
  </si>
  <si>
    <t>integral component of plasma membrane</t>
  </si>
  <si>
    <t>integral component of mitochondrial outer membrane</t>
  </si>
  <si>
    <t>nucleoplasm</t>
  </si>
  <si>
    <t>fungal-type cell wall</t>
  </si>
  <si>
    <t>fungal-type vacuole membrane</t>
  </si>
  <si>
    <t>mating projection tip</t>
  </si>
  <si>
    <t>late endosome</t>
  </si>
  <si>
    <t>membrane</t>
  </si>
  <si>
    <t>polysome</t>
  </si>
  <si>
    <t>endosome</t>
  </si>
  <si>
    <t>ascospore wall</t>
  </si>
  <si>
    <t>prospore membrane</t>
  </si>
  <si>
    <t>chromosome, centromeric region</t>
  </si>
  <si>
    <t>P-body</t>
  </si>
  <si>
    <t>trans-Golgi network</t>
  </si>
  <si>
    <t>U2-type catalytic step 1 spliceosome</t>
  </si>
  <si>
    <t>incipient cellular bud site</t>
  </si>
  <si>
    <t>integral component of Golgi membrane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</si>
  <si>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</si>
  <si>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</si>
  <si>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</si>
  <si>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</si>
  <si>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</si>
  <si>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Golgi trans cisterna</t>
  </si>
  <si>
    <t>early endosome</t>
  </si>
  <si>
    <t>nucleus-vacuole junction</t>
  </si>
  <si>
    <t>extracellular region</t>
  </si>
  <si>
    <t>nucleosome</t>
  </si>
  <si>
    <t>cell cortex</t>
  </si>
  <si>
    <t>clathrin-coated vesicle</t>
  </si>
  <si>
    <t>nuclear microtubule</t>
  </si>
  <si>
    <t>kinetochore</t>
  </si>
  <si>
    <t>membrane raft</t>
  </si>
  <si>
    <t>phagophore assembly site</t>
  </si>
  <si>
    <t>vacuole-isolation membrane contact site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</si>
  <si>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</si>
  <si>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</si>
  <si>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</si>
  <si>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</si>
  <si>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</si>
  <si>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</si>
  <si>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</si>
  <si>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</si>
  <si>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</si>
  <si>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</si>
  <si>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</si>
  <si>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</si>
  <si>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</si>
  <si>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</si>
  <si>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vacuolar proton-transporting V-type ATPase, V1 domain</t>
  </si>
  <si>
    <t>cellular bud neck septin ring</t>
  </si>
  <si>
    <t>cellular bud neck septin collar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</si>
  <si>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</si>
  <si>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</si>
  <si>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</si>
  <si>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</si>
  <si>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</si>
  <si>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</si>
  <si>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</si>
  <si>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</si>
  <si>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</si>
  <si>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</si>
  <si>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</si>
  <si>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</si>
  <si>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</si>
  <si>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</si>
  <si>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</si>
  <si>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</si>
  <si>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</si>
  <si>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</si>
  <si>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</si>
  <si>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</si>
  <si>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</si>
  <si>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</si>
  <si>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</si>
  <si>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</si>
  <si>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</si>
  <si>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</si>
  <si>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</si>
  <si>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</si>
  <si>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</si>
  <si>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</si>
  <si>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</si>
  <si>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</si>
  <si>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</si>
  <si>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</si>
  <si>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</si>
  <si>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</si>
  <si>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</si>
  <si>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</si>
  <si>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</si>
  <si>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</si>
  <si>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cytosolic ribosome</t>
  </si>
  <si>
    <t>cellular bud neck split septin rings</t>
  </si>
  <si>
    <t>vacuole</t>
  </si>
  <si>
    <t>microtubule</t>
  </si>
  <si>
    <t>chromosome</t>
  </si>
  <si>
    <t>catalytic step 2 spliceosome</t>
  </si>
  <si>
    <t>U2-type catalytic step 2 spliceosome</t>
  </si>
  <si>
    <t>integral component of fungal-type vacuolar membrane</t>
  </si>
  <si>
    <t>phagophore</t>
  </si>
  <si>
    <t>mmol/gDW_carl_used_enzyme</t>
  </si>
  <si>
    <t>unused_ratio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</si>
</sst>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Sheet1!$B$2:$B$4</c:f>
              <c:strCache>
                <c:ptCount val="3"/>
                <c:pt idx="0">
                  <c:v>Total used enzyme</c:v>
                </c:pt>
                <c:pt idx="1">
                  <c:v>Mean</c:v>
                </c:pt>
                <c:pt idx="2">
                  <c:v>Core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608</c:v>
                </c:pt>
                <c:pt idx="1">
                  <c:v>450</c:v>
                </c:pt>
                <c:pt idx="2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7-DC4F-9A53-D003C397B7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90565167"/>
        <c:axId val="91125423"/>
      </c:barChart>
      <c:catAx>
        <c:axId val="905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1125423"/>
        <c:crosses val="autoZero"/>
        <c:auto val="1"/>
        <c:lblAlgn val="ctr"/>
        <c:lblOffset val="100"/>
        <c:noMultiLvlLbl val="0"/>
      </c:catAx>
      <c:valAx>
        <c:axId val="911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056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mmol/gDW_carl_used_enzyme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268144770439178"/>
                  <c:y val="-0.281178086396026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Sheet4!$B$2:$B$45</c:f>
              <c:numCache>
                <c:formatCode>General</c:formatCode>
                <c:ptCount val="26"/>
                <c:pt idx="0">
                  <c:v>0.7246457681300057</c:v>
                </c:pt>
                <c:pt idx="1">
                  <c:v>0.70583152875775812</c:v>
                </c:pt>
                <c:pt idx="2">
                  <c:v>0.45251405280144352</c:v>
                </c:pt>
                <c:pt idx="3">
                  <c:v>0.71524297582938745</c:v>
                </c:pt>
                <c:pt idx="4">
                  <c:v>0.75870382129357017</c:v>
                </c:pt>
                <c:pt idx="5">
                  <c:v>0.86481051000881426</c:v>
                </c:pt>
                <c:pt idx="6">
                  <c:v>0.89929741335153168</c:v>
                </c:pt>
                <c:pt idx="7">
                  <c:v>0.49612494238476867</c:v>
                </c:pt>
                <c:pt idx="8">
                  <c:v>0.71932531364208341</c:v>
                </c:pt>
                <c:pt idx="9">
                  <c:v>0.46295066507493571</c:v>
                </c:pt>
                <c:pt idx="10">
                  <c:v>0.89499742833965157</c:v>
                </c:pt>
                <c:pt idx="11">
                  <c:v>0.75558187064489557</c:v>
                </c:pt>
                <c:pt idx="12">
                  <c:v>0.63411939610227896</c:v>
                </c:pt>
                <c:pt idx="13">
                  <c:v>0.41848895994129598</c:v>
                </c:pt>
                <c:pt idx="14">
                  <c:v>0.63069939519224183</c:v>
                </c:pt>
                <c:pt idx="15">
                  <c:v>0.5829598364285774</c:v>
                </c:pt>
                <c:pt idx="16">
                  <c:v>0.60145016005359475</c:v>
                </c:pt>
                <c:pt idx="17">
                  <c:v>0.63664608697693903</c:v>
                </c:pt>
                <c:pt idx="18">
                  <c:v>0.94911590819727221</c:v>
                </c:pt>
                <c:pt idx="19">
                  <c:v>0.55365919808167441</c:v>
                </c:pt>
                <c:pt idx="20">
                  <c:v>0.56236310855524951</c:v>
                </c:pt>
                <c:pt idx="21">
                  <c:v>0.98189081561401503</c:v>
                </c:pt>
                <c:pt idx="22">
                  <c:v>0.83800029407280818</c:v>
                </c:pt>
                <c:pt idx="23">
                  <c:v>0.75613949607594777</c:v>
                </c:pt>
                <c:pt idx="24">
                  <c:v>0.64842505570974551</c:v>
                </c:pt>
                <c:pt idx="25">
                  <c:v>0.49813542161242141</c:v>
                </c:pt>
              </c:numCache>
            </c:numRef>
          </c:xVal>
          <c:yVal>
            <c:numRef>
              <c:f>Sheet4!$C$2:$C$45</c:f>
              <c:numCache>
                <c:formatCode>General</c:formatCode>
                <c:ptCount val="26"/>
                <c:pt idx="0">
                  <c:v>0.7246457681300057</c:v>
                </c:pt>
                <c:pt idx="1">
                  <c:v>0.66830890368397888</c:v>
                </c:pt>
                <c:pt idx="2">
                  <c:v>0.40499080293073719</c:v>
                </c:pt>
                <c:pt idx="3">
                  <c:v>0.63281568409435907</c:v>
                </c:pt>
                <c:pt idx="4">
                  <c:v>0.64864995162265093</c:v>
                </c:pt>
                <c:pt idx="5">
                  <c:v>0.6785729327890383</c:v>
                </c:pt>
                <c:pt idx="6">
                  <c:v>0.61904270552900231</c:v>
                </c:pt>
                <c:pt idx="7">
                  <c:v>0.33702644045690638</c:v>
                </c:pt>
                <c:pt idx="8">
                  <c:v>0.44363840013177669</c:v>
                </c:pt>
                <c:pt idx="9">
                  <c:v>0.27087622613875101</c:v>
                </c:pt>
                <c:pt idx="10">
                  <c:v>0.51633453169386978</c:v>
                </c:pt>
                <c:pt idx="11">
                  <c:v>0.43008528933168849</c:v>
                </c:pt>
                <c:pt idx="12">
                  <c:v>0.35935187765001853</c:v>
                </c:pt>
                <c:pt idx="13">
                  <c:v>0.20156429559230271</c:v>
                </c:pt>
                <c:pt idx="14">
                  <c:v>0.25202153407147793</c:v>
                </c:pt>
                <c:pt idx="15">
                  <c:v>0.22833558662382269</c:v>
                </c:pt>
                <c:pt idx="16">
                  <c:v>0.20329725780834779</c:v>
                </c:pt>
                <c:pt idx="17">
                  <c:v>0.2069384891109875</c:v>
                </c:pt>
                <c:pt idx="18">
                  <c:v>0.18268162124636159</c:v>
                </c:pt>
                <c:pt idx="19">
                  <c:v>6.9317039209549167E-2</c:v>
                </c:pt>
                <c:pt idx="20">
                  <c:v>5.8293829945845158E-2</c:v>
                </c:pt>
                <c:pt idx="21">
                  <c:v>0.1015990065823537</c:v>
                </c:pt>
                <c:pt idx="22">
                  <c:v>2.9258670478354738E-2</c:v>
                </c:pt>
                <c:pt idx="23">
                  <c:v>2.234576943848994E-2</c:v>
                </c:pt>
                <c:pt idx="24">
                  <c:v>2.0667574808596362E-3</c:v>
                </c:pt>
                <c:pt idx="25">
                  <c:v>1.0779183915379431E-3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E-204A-BA71-3F5F7C7F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805040"/>
        <c:axId val="1809055520"/>
      </c:scatterChart>
      <c:valAx>
        <c:axId val="183080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09055520"/>
        <c:crosses val="autoZero"/>
        <c:crossBetween val="midCat"/>
      </c:valAx>
      <c:valAx>
        <c:axId val="18090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308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clusteredColumn" uniqueId="{24856ECE-6B4C-6248-896A-CF422FC5EE68}">
          <cx:tx>
            <cx:txData>
              <cx:f>_xlchart.v1.6</cx:f>
              <cx:v>correlation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r>
                  <a:rPr lang="en-GB" sz="1400"/>
                  <a:t>Pearson coefficient</a:t>
                </a:r>
                <a:endParaRPr lang="en-GB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en-GB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755650</xdr:colOff>
      <xdr:row>2</xdr:row>
      <xdr:rowOff>0</xdr:rowOff>
    </xdr:from>
    <xdr:to>
      <xdr:col>8</xdr:col>
      <xdr:colOff>190500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43E62-1975-CB4A-4158-3BDF133EB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3</xdr:row>
      <xdr:rowOff>76200</xdr:rowOff>
    </xdr:from>
    <xdr:to>
      <xdr:col>9</xdr:col>
      <xdr:colOff>254000</xdr:colOff>
      <xdr:row>20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6A9323-AC0D-8C9A-2661-C49C101E1E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3850" y="685800"/>
              <a:ext cx="295275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16933</xdr:colOff>
      <xdr:row>1</xdr:row>
      <xdr:rowOff>33867</xdr:rowOff>
    </xdr:from>
    <xdr:to>
      <xdr:col>10</xdr:col>
      <xdr:colOff>330199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3CA4B-5093-8C4C-FE6F-1D8A33345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0D87-983D-7148-845F-98F5483E80B4}">
  <dimension ref="B1:C4"/>
  <sheetViews>
    <sheetView workbookViewId="0">
      <selection activeCell="B6" sqref="B6"/>
    </sheetView>
  </sheetViews>
  <sheetFormatPr baseColWidth="10" defaultRowHeight="16" x14ac:dyDescent="0.2"/>
  <cols>
    <col min="2" max="2" width="29.83203125" customWidth="1"/>
  </cols>
  <sheetData>
    <row r="1" spans="2:3" x14ac:dyDescent="0.2">
      <c r="B1" t="s">
        <v>2</v>
      </c>
      <c r="C1" t="s">
        <v>3</v>
      </c>
    </row>
    <row r="2" spans="2:3" x14ac:dyDescent="0.2">
      <c r="B2" t="s">
        <v>4</v>
      </c>
      <c r="C2">
        <v>608</v>
      </c>
    </row>
    <row r="3" spans="2:3" x14ac:dyDescent="0.2">
      <c r="B3" t="s">
        <v>1</v>
      </c>
      <c r="C3">
        <v>450</v>
      </c>
    </row>
    <row r="4" spans="2:3" x14ac:dyDescent="0.2">
      <c r="B4" t="s">
        <v>0</v>
      </c>
      <c r="C4">
        <v>196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C34-15B4-FA45-BDC8-9CEF6C5D02F2}">
  <dimension ref="A1:C68"/>
  <sheetViews>
    <sheetView topLeftCell="A42" workbookViewId="0">
      <selection activeCell="A55" sqref="A55:C55"/>
    </sheetView>
  </sheetViews>
  <sheetFormatPr baseColWidth="10" defaultColWidth="8.83203125" defaultRowHeight="16" x14ac:dyDescent="0.2"/>
  <cols>
    <col min="1" max="1" width="15.33203125" customWidth="1"/>
    <col min="2" max="2" width="15.5" customWidth="1"/>
    <col min="3" max="3" width="12.33203125" customWidth="1"/>
  </cols>
  <sheetData>
    <row r="1" spans="1:3" x14ac:dyDescent="0.2">
      <c r="A1" s="1" t="s">
        <v>5</v>
      </c>
      <c r="B1" s="1" t="s">
        <v>6</v>
      </c>
      <c r="C1" s="1" t="s">
        <v>6</v>
      </c>
    </row>
    <row r="2" spans="1:3" x14ac:dyDescent="0.2">
      <c r="A2" t="s">
        <v>7</v>
      </c>
      <c r="B2">
        <v>0.4943908588861608</v>
      </c>
      <c r="C2">
        <f>ROUND(B2,2)</f>
        <v>0.49</v>
      </c>
    </row>
    <row r="3" spans="1:3" x14ac:dyDescent="0.2">
      <c r="A3" t="s">
        <v>10</v>
      </c>
      <c r="B3">
        <v>0.48658060291113359</v>
      </c>
      <c r="C3">
        <f t="shared" ref="C3:C61" si="0">ROUND(B3,2)</f>
        <v>0.49</v>
      </c>
    </row>
    <row r="4" spans="1:3" x14ac:dyDescent="0.2">
      <c r="A4" t="s">
        <v>13</v>
      </c>
      <c r="B4">
        <v>0.48582915935119209</v>
      </c>
      <c r="C4">
        <f t="shared" si="0"/>
        <v>0.49</v>
      </c>
    </row>
    <row r="5" spans="1:3" x14ac:dyDescent="0.2">
      <c r="A5" t="s">
        <v>16</v>
      </c>
      <c r="B5">
        <v>0.46275451316584559</v>
      </c>
      <c r="C5">
        <f t="shared" si="0"/>
        <v>0.46</v>
      </c>
    </row>
    <row r="6" spans="1:3" x14ac:dyDescent="0.2">
      <c r="A6" t="s">
        <v>19</v>
      </c>
      <c r="B6">
        <v>0.45554361815712208</v>
      </c>
      <c r="C6">
        <f t="shared" si="0"/>
        <v>0.46</v>
      </c>
    </row>
    <row r="7" spans="1:3" x14ac:dyDescent="0.2">
      <c r="A7" t="s">
        <v>22</v>
      </c>
      <c r="B7">
        <v>0.46337999983068401</v>
      </c>
      <c r="C7">
        <f t="shared" si="0"/>
        <v>0.46</v>
      </c>
    </row>
    <row r="8" spans="1:3" x14ac:dyDescent="0.2">
      <c r="A8" t="s">
        <v>25</v>
      </c>
      <c r="B8">
        <v>0.47454418919405711</v>
      </c>
      <c r="C8">
        <f t="shared" si="0"/>
        <v>0.47</v>
      </c>
    </row>
    <row r="9" spans="1:3" x14ac:dyDescent="0.2">
      <c r="A9" t="s">
        <v>28</v>
      </c>
      <c r="B9">
        <v>0.48012391897492851</v>
      </c>
      <c r="C9">
        <f t="shared" si="0"/>
        <v>0.48</v>
      </c>
    </row>
    <row r="10" spans="1:3" x14ac:dyDescent="0.2">
      <c r="A10" t="s">
        <v>31</v>
      </c>
      <c r="B10">
        <v>0.47766436274455071</v>
      </c>
      <c r="C10">
        <f t="shared" si="0"/>
        <v>0.48</v>
      </c>
    </row>
    <row r="11" spans="1:3" x14ac:dyDescent="0.2">
      <c r="A11" t="s">
        <v>34</v>
      </c>
      <c r="B11">
        <v>0.46454352646829999</v>
      </c>
      <c r="C11">
        <f t="shared" si="0"/>
        <v>0.46</v>
      </c>
    </row>
    <row r="12" spans="1:3" x14ac:dyDescent="0.2">
      <c r="A12" t="s">
        <v>36</v>
      </c>
      <c r="B12">
        <v>0.46362285805897357</v>
      </c>
      <c r="C12">
        <f t="shared" si="0"/>
        <v>0.46</v>
      </c>
    </row>
    <row r="13" spans="1:3" x14ac:dyDescent="0.2">
      <c r="A13" t="s">
        <v>38</v>
      </c>
      <c r="B13">
        <v>0.45652235236365118</v>
      </c>
      <c r="C13">
        <f t="shared" si="0"/>
        <v>0.46</v>
      </c>
    </row>
    <row r="14" spans="1:3" x14ac:dyDescent="0.2">
      <c r="A14" t="s">
        <v>40</v>
      </c>
      <c r="B14">
        <v>0.45106043088487102</v>
      </c>
      <c r="C14">
        <f t="shared" si="0"/>
        <v>0.45</v>
      </c>
    </row>
    <row r="15" spans="1:3" x14ac:dyDescent="0.2">
      <c r="A15" t="s">
        <v>42</v>
      </c>
      <c r="B15">
        <v>0.46282296029173681</v>
      </c>
      <c r="C15">
        <f t="shared" si="0"/>
        <v>0.46</v>
      </c>
    </row>
    <row r="16" spans="1:3" x14ac:dyDescent="0.2">
      <c r="A16" t="s">
        <v>44</v>
      </c>
      <c r="B16">
        <v>0.44276260171268561</v>
      </c>
      <c r="C16">
        <f t="shared" si="0"/>
        <v>0.44</v>
      </c>
    </row>
    <row r="17" spans="1:3" x14ac:dyDescent="0.2">
      <c r="A17" t="s">
        <v>46</v>
      </c>
      <c r="B17">
        <v>0.42073963596461689</v>
      </c>
      <c r="C17">
        <f t="shared" si="0"/>
        <v>0.42</v>
      </c>
    </row>
    <row r="18" spans="1:3" x14ac:dyDescent="0.2">
      <c r="A18" t="s">
        <v>48</v>
      </c>
      <c r="B18">
        <v>0.41825920585768311</v>
      </c>
      <c r="C18">
        <f t="shared" si="0"/>
        <v>0.42</v>
      </c>
    </row>
    <row r="19" spans="1:3" x14ac:dyDescent="0.2">
      <c r="A19" t="s">
        <v>49</v>
      </c>
      <c r="B19">
        <v>0.4083081885375095</v>
      </c>
      <c r="C19">
        <f t="shared" si="0"/>
        <v>0.41</v>
      </c>
    </row>
    <row r="20" spans="1:3" x14ac:dyDescent="0.2">
      <c r="A20" t="s">
        <v>50</v>
      </c>
      <c r="B20">
        <v>0.43619003078210228</v>
      </c>
      <c r="C20">
        <f t="shared" si="0"/>
        <v>0.44</v>
      </c>
    </row>
    <row r="21" spans="1:3" x14ac:dyDescent="0.2">
      <c r="A21" t="s">
        <v>51</v>
      </c>
      <c r="B21">
        <v>0.44959013602111902</v>
      </c>
      <c r="C21">
        <f t="shared" si="0"/>
        <v>0.45</v>
      </c>
    </row>
    <row r="22" spans="1:3" x14ac:dyDescent="0.2">
      <c r="A22" t="s">
        <v>52</v>
      </c>
      <c r="B22">
        <v>0.43463816843952358</v>
      </c>
      <c r="C22">
        <f t="shared" si="0"/>
        <v>0.43</v>
      </c>
    </row>
    <row r="23" spans="1:3" x14ac:dyDescent="0.2">
      <c r="A23" t="s">
        <v>53</v>
      </c>
      <c r="B23">
        <v>0.4570872252923317</v>
      </c>
      <c r="C23">
        <f t="shared" si="0"/>
        <v>0.46</v>
      </c>
    </row>
    <row r="24" spans="1:3" x14ac:dyDescent="0.2">
      <c r="A24" t="s">
        <v>54</v>
      </c>
      <c r="B24">
        <v>0.4711055697385656</v>
      </c>
      <c r="C24">
        <f t="shared" si="0"/>
        <v>0.47</v>
      </c>
    </row>
    <row r="25" spans="1:3" x14ac:dyDescent="0.2">
      <c r="A25" t="s">
        <v>55</v>
      </c>
      <c r="B25">
        <v>0.43188775572025889</v>
      </c>
      <c r="C25">
        <f t="shared" si="0"/>
        <v>0.43</v>
      </c>
    </row>
    <row r="26" spans="1:3" x14ac:dyDescent="0.2">
      <c r="A26" t="s">
        <v>56</v>
      </c>
      <c r="B26">
        <v>0.44564001108249768</v>
      </c>
      <c r="C26">
        <f t="shared" si="0"/>
        <v>0.45</v>
      </c>
    </row>
    <row r="27" spans="1:3" x14ac:dyDescent="0.2">
      <c r="A27" t="s">
        <v>57</v>
      </c>
      <c r="B27">
        <v>0.44495426351600098</v>
      </c>
      <c r="C27">
        <f t="shared" si="0"/>
        <v>0.44</v>
      </c>
    </row>
    <row r="28" spans="1:3" x14ac:dyDescent="0.2">
      <c r="A28" t="s">
        <v>58</v>
      </c>
      <c r="B28">
        <v>0.45447116688800121</v>
      </c>
      <c r="C28">
        <f t="shared" si="0"/>
        <v>0.45</v>
      </c>
    </row>
    <row r="29" spans="1:3" x14ac:dyDescent="0.2">
      <c r="A29" t="s">
        <v>59</v>
      </c>
      <c r="B29">
        <v>0.48013794496911399</v>
      </c>
      <c r="C29">
        <f t="shared" si="0"/>
        <v>0.48</v>
      </c>
    </row>
    <row r="30" spans="1:3" x14ac:dyDescent="0.2">
      <c r="A30" t="s">
        <v>60</v>
      </c>
      <c r="B30">
        <v>0.45982174362411171</v>
      </c>
      <c r="C30">
        <f t="shared" si="0"/>
        <v>0.46</v>
      </c>
    </row>
    <row r="31" spans="1:3" x14ac:dyDescent="0.2">
      <c r="A31" t="s">
        <v>61</v>
      </c>
      <c r="B31">
        <v>0.45646840467762279</v>
      </c>
      <c r="C31">
        <f t="shared" si="0"/>
        <v>0.46</v>
      </c>
    </row>
    <row r="32" spans="1:3" x14ac:dyDescent="0.2">
      <c r="A32" t="s">
        <v>62</v>
      </c>
      <c r="B32">
        <v>0.44886406767565201</v>
      </c>
      <c r="C32">
        <f t="shared" si="0"/>
        <v>0.45</v>
      </c>
    </row>
    <row r="33" spans="1:3" x14ac:dyDescent="0.2">
      <c r="A33" t="s">
        <v>63</v>
      </c>
      <c r="B33">
        <v>0.47741677453466419</v>
      </c>
      <c r="C33">
        <f t="shared" si="0"/>
        <v>0.48</v>
      </c>
    </row>
    <row r="34" spans="1:3" x14ac:dyDescent="0.2">
      <c r="A34" t="s">
        <v>64</v>
      </c>
      <c r="B34">
        <v>0.47039782203129599</v>
      </c>
      <c r="C34">
        <f t="shared" si="0"/>
        <v>0.47</v>
      </c>
    </row>
    <row r="35" spans="1:3" x14ac:dyDescent="0.2">
      <c r="A35" t="s">
        <v>65</v>
      </c>
      <c r="B35">
        <v>0.47368036304571248</v>
      </c>
      <c r="C35">
        <f t="shared" si="0"/>
        <v>0.47</v>
      </c>
    </row>
    <row r="36" spans="1:3" x14ac:dyDescent="0.2">
      <c r="A36" t="s">
        <v>66</v>
      </c>
      <c r="B36">
        <v>0.45851486482856812</v>
      </c>
      <c r="C36">
        <f t="shared" si="0"/>
        <v>0.46</v>
      </c>
    </row>
    <row r="37" spans="1:3" x14ac:dyDescent="0.2">
      <c r="A37" t="s">
        <v>67</v>
      </c>
      <c r="B37">
        <v>0.47587201576084642</v>
      </c>
      <c r="C37">
        <f t="shared" si="0"/>
        <v>0.48</v>
      </c>
    </row>
    <row r="38" spans="1:3" x14ac:dyDescent="0.2">
      <c r="A38" t="s">
        <v>68</v>
      </c>
      <c r="B38">
        <v>0.47390545197922079</v>
      </c>
      <c r="C38">
        <f t="shared" si="0"/>
        <v>0.47</v>
      </c>
    </row>
    <row r="39" spans="1:3" x14ac:dyDescent="0.2">
      <c r="A39" t="s">
        <v>69</v>
      </c>
      <c r="B39">
        <v>0.45698737913415288</v>
      </c>
      <c r="C39">
        <f t="shared" si="0"/>
        <v>0.46</v>
      </c>
    </row>
    <row r="40" spans="1:3" x14ac:dyDescent="0.2">
      <c r="A40" t="s">
        <v>70</v>
      </c>
      <c r="B40">
        <v>0.46633917518752049</v>
      </c>
      <c r="C40">
        <f t="shared" si="0"/>
        <v>0.47</v>
      </c>
    </row>
    <row r="41" spans="1:3" x14ac:dyDescent="0.2">
      <c r="A41" t="s">
        <v>71</v>
      </c>
      <c r="B41">
        <v>0.48598453059269142</v>
      </c>
      <c r="C41">
        <f t="shared" si="0"/>
        <v>0.49</v>
      </c>
    </row>
    <row r="42" spans="1:3" x14ac:dyDescent="0.2">
      <c r="A42" t="s">
        <v>72</v>
      </c>
      <c r="B42">
        <v>0.4164872213840507</v>
      </c>
      <c r="C42">
        <f t="shared" si="0"/>
        <v>0.42</v>
      </c>
    </row>
    <row r="43" spans="1:3" x14ac:dyDescent="0.2">
      <c r="A43" t="s">
        <v>73</v>
      </c>
      <c r="B43">
        <v>0.46405505169909678</v>
      </c>
      <c r="C43">
        <f t="shared" si="0"/>
        <v>0.46</v>
      </c>
    </row>
    <row r="44" spans="1:3" x14ac:dyDescent="0.2">
      <c r="A44" s="2" t="s">
        <v>23</v>
      </c>
      <c r="B44" s="2">
        <v>0.32869725361440888</v>
      </c>
      <c r="C44">
        <f t="shared" si="0"/>
        <v>0.33</v>
      </c>
    </row>
    <row r="45" spans="1:3" x14ac:dyDescent="0.2">
      <c r="A45" s="2" t="s">
        <v>26</v>
      </c>
      <c r="B45" s="2">
        <v>0.34561358115080021</v>
      </c>
      <c r="C45">
        <f t="shared" si="0"/>
        <v>0.35</v>
      </c>
    </row>
    <row r="46" spans="1:3" x14ac:dyDescent="0.2">
      <c r="A46" s="2" t="s">
        <v>29</v>
      </c>
      <c r="B46" s="2">
        <v>0.35575821348753711</v>
      </c>
      <c r="C46">
        <f t="shared" si="0"/>
        <v>0.36</v>
      </c>
    </row>
    <row r="47" spans="1:3" x14ac:dyDescent="0.2">
      <c r="A47" s="2" t="s">
        <v>32</v>
      </c>
      <c r="B47" s="2">
        <v>0.31849797361783783</v>
      </c>
      <c r="C47">
        <f t="shared" si="0"/>
        <v>0.32</v>
      </c>
    </row>
    <row r="48" spans="1:3" x14ac:dyDescent="0.2">
      <c r="A48" s="2" t="s">
        <v>35</v>
      </c>
      <c r="B48" s="2">
        <v>0.34121791267813878</v>
      </c>
      <c r="C48">
        <f t="shared" si="0"/>
        <v>0.34</v>
      </c>
    </row>
    <row r="49" spans="1:3" x14ac:dyDescent="0.2">
      <c r="A49" s="2" t="s">
        <v>37</v>
      </c>
      <c r="B49" s="2">
        <v>0.32782066374381352</v>
      </c>
      <c r="C49">
        <f t="shared" si="0"/>
        <v>0.33</v>
      </c>
    </row>
    <row r="50" spans="1:3" x14ac:dyDescent="0.2">
      <c r="A50" s="2" t="s">
        <v>39</v>
      </c>
      <c r="B50" s="2">
        <v>0.34677388831505163</v>
      </c>
      <c r="C50">
        <f t="shared" si="0"/>
        <v>0.35</v>
      </c>
    </row>
    <row r="51" spans="1:3" x14ac:dyDescent="0.2">
      <c r="A51" s="2" t="s">
        <v>41</v>
      </c>
      <c r="B51" s="2">
        <v>0.35531182694546021</v>
      </c>
      <c r="C51">
        <f t="shared" si="0"/>
        <v>0.36</v>
      </c>
    </row>
    <row r="52" spans="1:3" x14ac:dyDescent="0.2">
      <c r="A52" s="2" t="s">
        <v>43</v>
      </c>
      <c r="B52" s="2">
        <v>0.47112592222330141</v>
      </c>
      <c r="C52">
        <f t="shared" si="0"/>
        <v>0.47</v>
      </c>
    </row>
    <row r="53" spans="1:3" x14ac:dyDescent="0.2">
      <c r="A53" s="2" t="s">
        <v>45</v>
      </c>
      <c r="B53" s="2">
        <v>0.37134504704353172</v>
      </c>
      <c r="C53">
        <f t="shared" si="0"/>
        <v>0.37</v>
      </c>
    </row>
    <row r="54" spans="1:3" x14ac:dyDescent="0.2">
      <c r="A54" s="2" t="s">
        <v>47</v>
      </c>
      <c r="B54" s="2">
        <v>0.35911405607420011</v>
      </c>
      <c r="C54">
        <f t="shared" si="0"/>
        <v>0.36</v>
      </c>
    </row>
    <row r="55" spans="1:3" x14ac:dyDescent="0.2">
      <c r="A55" t="s">
        <v>9</v>
      </c>
      <c r="B55">
        <v>0.6044657103152381</v>
      </c>
      <c r="C55">
        <f t="shared" si="0"/>
        <v>0.6</v>
      </c>
    </row>
    <row r="56" spans="1:3" x14ac:dyDescent="0.2">
      <c r="A56" t="s">
        <v>12</v>
      </c>
      <c r="B56">
        <v>0.57166361756315354</v>
      </c>
      <c r="C56">
        <f t="shared" si="0"/>
        <v>0.56999999999999995</v>
      </c>
    </row>
    <row r="57" spans="1:3" x14ac:dyDescent="0.2">
      <c r="A57" t="s">
        <v>15</v>
      </c>
      <c r="B57">
        <v>0.54721003590665196</v>
      </c>
      <c r="C57">
        <f t="shared" si="0"/>
        <v>0.55000000000000004</v>
      </c>
    </row>
    <row r="58" spans="1:3" x14ac:dyDescent="0.2">
      <c r="A58" t="s">
        <v>18</v>
      </c>
      <c r="B58">
        <v>0.47070729791776389</v>
      </c>
      <c r="C58">
        <f t="shared" si="0"/>
        <v>0.47</v>
      </c>
    </row>
    <row r="59" spans="1:3" x14ac:dyDescent="0.2">
      <c r="A59" t="s">
        <v>21</v>
      </c>
      <c r="B59">
        <v>0.50291328551382786</v>
      </c>
      <c r="C59">
        <f t="shared" si="0"/>
        <v>0.5</v>
      </c>
    </row>
    <row r="60" spans="1:3" x14ac:dyDescent="0.2">
      <c r="A60" t="s">
        <v>24</v>
      </c>
      <c r="B60">
        <v>0.48207603785182412</v>
      </c>
      <c r="C60">
        <f t="shared" si="0"/>
        <v>0.48</v>
      </c>
    </row>
    <row r="61" spans="1:3" x14ac:dyDescent="0.2">
      <c r="A61" t="s">
        <v>27</v>
      </c>
      <c r="B61">
        <v>0.49305693933018979</v>
      </c>
      <c r="C61">
        <f t="shared" si="0"/>
        <v>0.49</v>
      </c>
    </row>
    <row r="62" spans="1:3" x14ac:dyDescent="0.2">
      <c r="A62" t="s">
        <v>30</v>
      </c>
      <c r="B62">
        <v>0.49179588715115607</v>
      </c>
      <c r="C62">
        <f t="shared" ref="C62:C68" si="1">ROUND(B62,2)</f>
        <v>0.49</v>
      </c>
    </row>
    <row r="63" spans="1:3" x14ac:dyDescent="0.2">
      <c r="A63" t="s">
        <v>33</v>
      </c>
      <c r="B63">
        <v>0.42894790948129319</v>
      </c>
      <c r="C63">
        <f t="shared" si="1"/>
        <v>0.43</v>
      </c>
    </row>
    <row r="64" spans="1:3" x14ac:dyDescent="0.2">
      <c r="A64" t="s">
        <v>8</v>
      </c>
      <c r="B64">
        <v>0.42505120434101362</v>
      </c>
      <c r="C64">
        <f t="shared" si="1"/>
        <v>0.43</v>
      </c>
    </row>
    <row r="65" spans="1:3" x14ac:dyDescent="0.2">
      <c r="A65" t="s">
        <v>11</v>
      </c>
      <c r="B65">
        <v>0.38577853995744787</v>
      </c>
      <c r="C65">
        <f t="shared" si="1"/>
        <v>0.39</v>
      </c>
    </row>
    <row r="66" spans="1:3" x14ac:dyDescent="0.2">
      <c r="A66" t="s">
        <v>14</v>
      </c>
      <c r="B66">
        <v>0.44816604978409041</v>
      </c>
      <c r="C66">
        <f t="shared" si="1"/>
        <v>0.45</v>
      </c>
    </row>
    <row r="67" spans="1:3" x14ac:dyDescent="0.2">
      <c r="A67" t="s">
        <v>17</v>
      </c>
      <c r="B67">
        <v>0.37053879721565641</v>
      </c>
      <c r="C67">
        <f t="shared" si="1"/>
        <v>0.37</v>
      </c>
    </row>
    <row r="68" spans="1:3" x14ac:dyDescent="0.2">
      <c r="A68" t="s">
        <v>20</v>
      </c>
      <c r="B68">
        <v>0.34930087540009919</v>
      </c>
      <c r="C68">
        <f t="shared" si="1"/>
        <v>0.35</v>
      </c>
    </row>
  </sheetData>
  <conditionalFormatting sqref="A55:B6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64:B68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4:B5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{0D1E1C64-045B-C74F-BDFF-4E1978E700F2}</x14:id>
        </ext>
      </extLst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55:B6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1E1C64-045B-C74F-BDFF-4E1978E70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A44:B54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1E7D-1DCE-DD4E-96F0-D5E4DCF4F064}">
  <dimension ref="A1"/>
  <sheetViews>
    <sheetView workbookViewId="0">
      <selection activeCell="B1" sqref="A1:B1048576"/>
    </sheetView>
  </sheetViews>
  <sheetFormatPr baseColWidth="10" defaultRowHeight="16" x14ac:dyDescent="0.2"/>
  <sheetData/>
  <sortState xmlns:xlrd2="http://schemas.microsoft.com/office/spreadsheetml/2017/richdata2" ref="A2:B141">
    <sortCondition descending="1" ref="A1:A1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DE58-81CB-5346-980D-3114C8921C2C}">
  <sheetPr filterMode="1"/>
  <dimension ref="A1:D145"/>
  <sheetViews>
    <sheetView tabSelected="1" zoomScale="75" zoomScaleNormal="82" workbookViewId="0">
      <selection activeCell="B1" sqref="B1:B1048576"/>
    </sheetView>
  </sheetViews>
  <sheetFormatPr baseColWidth="10" defaultRowHeight="16" x14ac:dyDescent="0.2"/>
  <cols>
    <col min="1" max="1" width="57.5" customWidth="1"/>
    <col min="2" max="2" width="20.1640625" customWidth="1"/>
    <col min="3" max="3" width="25" style="4" customWidth="1"/>
    <col min="4" max="4" width="15.6640625" customWidth="1"/>
  </cols>
  <sheetData>
    <row r="1" spans="1:4" x14ac:dyDescent="0.2">
      <c r="A1" s="1" t="s">
        <v>74</v>
      </c>
      <c r="B1" s="1" t="s">
        <v>8</v>
      </c>
      <c r="C1" s="3" t="s">
        <v>214</v>
      </c>
      <c r="D1" t="s">
        <v>215</v>
      </c>
    </row>
    <row r="2" spans="1:4" x14ac:dyDescent="0.2">
      <c r="A2" t="s">
        <v>75</v>
      </c>
      <c r="B2">
        <v>0.7246457681300057</v>
      </c>
      <c r="C2" s="4">
        <v>0.7246457681300057</v>
      </c>
      <c r="D2">
        <f>(B2-C2)/B2</f>
        <v>0</v>
      </c>
    </row>
    <row r="3" spans="1:4" hidden="1" x14ac:dyDescent="0.2">
      <c r="A3" t="s">
        <v>87</v>
      </c>
      <c r="B3">
        <v>0.27319214509306389</v>
      </c>
      <c r="C3" s="4">
        <v>0.27319214509306389</v>
      </c>
      <c r="D3">
        <f>(B3-C3)/B3</f>
        <v>0</v>
      </c>
    </row>
    <row r="4" spans="1:4" hidden="1" x14ac:dyDescent="0.2">
      <c r="A4" t="s">
        <v>90</v>
      </c>
      <c r="B4">
        <v>0.25034931787880921</v>
      </c>
      <c r="C4" s="4">
        <v>0.25034931787880921</v>
      </c>
      <c r="D4">
        <f>(B4-C4)/B4</f>
        <v>0</v>
      </c>
    </row>
    <row r="5" spans="1:4" hidden="1" x14ac:dyDescent="0.2">
      <c r="A5" t="s">
        <v>95</v>
      </c>
      <c r="B5">
        <v>0.19876314285756419</v>
      </c>
      <c r="C5" s="4">
        <v>0.19876314285756419</v>
      </c>
      <c r="D5">
        <f>(B5-C5)/B5</f>
        <v>0</v>
      </c>
    </row>
    <row r="6" spans="1:4" hidden="1" x14ac:dyDescent="0.2">
      <c r="A6" t="s">
        <v>96</v>
      </c>
      <c r="B6">
        <v>0.19223166329770719</v>
      </c>
      <c r="C6" s="4">
        <v>0.19223166329770719</v>
      </c>
      <c r="D6">
        <f>(B6-C6)/B6</f>
        <v>0</v>
      </c>
    </row>
    <row r="7" spans="1:4" hidden="1" x14ac:dyDescent="0.2">
      <c r="A7" t="s">
        <v>100</v>
      </c>
      <c r="B7">
        <v>0.1437219625087667</v>
      </c>
      <c r="C7" s="4">
        <v>0.1437219625087667</v>
      </c>
      <c r="D7">
        <f>(B7-C7)/B7</f>
        <v>0</v>
      </c>
    </row>
    <row r="8" spans="1:4" hidden="1" x14ac:dyDescent="0.2">
      <c r="A8" t="s">
        <v>104</v>
      </c>
      <c r="B8">
        <v>9.8035280137530323E-2</v>
      </c>
      <c r="C8" s="4">
        <v>9.8035280137530323E-2</v>
      </c>
      <c r="D8">
        <f>(B8-C8)/B8</f>
        <v>0</v>
      </c>
    </row>
    <row r="9" spans="1:4" hidden="1" x14ac:dyDescent="0.2">
      <c r="A9" t="s">
        <v>109</v>
      </c>
      <c r="B9">
        <v>3.3378678462795949E-2</v>
      </c>
      <c r="C9" s="4">
        <v>3.3378678462795949E-2</v>
      </c>
      <c r="D9">
        <f>(B9-C9)/B9</f>
        <v>0</v>
      </c>
    </row>
    <row r="10" spans="1:4" hidden="1" x14ac:dyDescent="0.2">
      <c r="A10" t="s">
        <v>115</v>
      </c>
      <c r="B10">
        <v>3.7278600574270461E-3</v>
      </c>
      <c r="C10" s="4">
        <v>3.7278600574270461E-3</v>
      </c>
      <c r="D10">
        <f>(B10-C10)/B10</f>
        <v>0</v>
      </c>
    </row>
    <row r="11" spans="1:4" x14ac:dyDescent="0.2">
      <c r="A11" t="s">
        <v>77</v>
      </c>
      <c r="B11">
        <v>0.70583152875775812</v>
      </c>
      <c r="C11" s="4">
        <v>0.66830890368397888</v>
      </c>
      <c r="D11">
        <f>(B11-C11)/B11</f>
        <v>5.3160879820455045E-2</v>
      </c>
    </row>
    <row r="12" spans="1:4" x14ac:dyDescent="0.2">
      <c r="A12" t="s">
        <v>84</v>
      </c>
      <c r="B12">
        <v>0.45251405280144352</v>
      </c>
      <c r="C12" s="4">
        <v>0.40499080293073719</v>
      </c>
      <c r="D12">
        <f>(B12-C12)/B12</f>
        <v>0.1050204951127978</v>
      </c>
    </row>
    <row r="13" spans="1:4" x14ac:dyDescent="0.2">
      <c r="A13" t="s">
        <v>79</v>
      </c>
      <c r="B13">
        <v>0.71524297582938745</v>
      </c>
      <c r="C13" s="4">
        <v>0.63281568409435907</v>
      </c>
      <c r="D13">
        <f>(B13-C13)/B13</f>
        <v>0.11524376263806947</v>
      </c>
    </row>
    <row r="14" spans="1:4" x14ac:dyDescent="0.2">
      <c r="A14" t="s">
        <v>78</v>
      </c>
      <c r="B14">
        <v>0.75870382129357017</v>
      </c>
      <c r="C14" s="4">
        <v>0.64864995162265093</v>
      </c>
      <c r="D14">
        <f>(B14-C14)/B14</f>
        <v>0.14505511450209946</v>
      </c>
    </row>
    <row r="15" spans="1:4" hidden="1" x14ac:dyDescent="0.2">
      <c r="A15" t="s">
        <v>108</v>
      </c>
      <c r="B15">
        <v>5.9160025089661603E-2</v>
      </c>
      <c r="C15" s="4">
        <v>4.9824702997387768E-2</v>
      </c>
      <c r="D15">
        <f>(B15-C15)/B15</f>
        <v>0.15779780482049205</v>
      </c>
    </row>
    <row r="16" spans="1:4" hidden="1" x14ac:dyDescent="0.2">
      <c r="A16" t="s">
        <v>105</v>
      </c>
      <c r="B16">
        <v>0.1038461463740058</v>
      </c>
      <c r="C16" s="4">
        <v>8.6272432722523204E-2</v>
      </c>
      <c r="D16">
        <f>(B16-C16)/B16</f>
        <v>0.16922836585760442</v>
      </c>
    </row>
    <row r="17" spans="1:4" x14ac:dyDescent="0.2">
      <c r="A17" t="s">
        <v>76</v>
      </c>
      <c r="B17">
        <v>0.86481051000881426</v>
      </c>
      <c r="C17" s="4">
        <v>0.6785729327890383</v>
      </c>
      <c r="D17">
        <f>(B17-C17)/B17</f>
        <v>0.21535073298065932</v>
      </c>
    </row>
    <row r="18" spans="1:4" x14ac:dyDescent="0.2">
      <c r="A18" t="s">
        <v>80</v>
      </c>
      <c r="B18">
        <v>0.89929741335153168</v>
      </c>
      <c r="C18" s="4">
        <v>0.61904270552900231</v>
      </c>
      <c r="D18">
        <f>(B18-C18)/B18</f>
        <v>0.31163740011001118</v>
      </c>
    </row>
    <row r="19" spans="1:4" x14ac:dyDescent="0.2">
      <c r="A19" t="s">
        <v>86</v>
      </c>
      <c r="B19">
        <v>0.49612494238476867</v>
      </c>
      <c r="C19" s="4">
        <v>0.33702644045690638</v>
      </c>
      <c r="D19">
        <f>(B19-C19)/B19</f>
        <v>0.32068232885673742</v>
      </c>
    </row>
    <row r="20" spans="1:4" x14ac:dyDescent="0.2">
      <c r="A20" t="s">
        <v>82</v>
      </c>
      <c r="B20">
        <v>0.71932531364208341</v>
      </c>
      <c r="C20" s="4">
        <v>0.44363840013177669</v>
      </c>
      <c r="D20">
        <f>(B20-C20)/B20</f>
        <v>0.3832576280604536</v>
      </c>
    </row>
    <row r="21" spans="1:4" x14ac:dyDescent="0.2">
      <c r="A21" t="s">
        <v>88</v>
      </c>
      <c r="B21">
        <v>0.46295066507493571</v>
      </c>
      <c r="C21" s="4">
        <v>0.27087622613875101</v>
      </c>
      <c r="D21">
        <f>(B21-C21)/B21</f>
        <v>0.41489180905506312</v>
      </c>
    </row>
    <row r="22" spans="1:4" s="5" customFormat="1" ht="17" customHeight="1" x14ac:dyDescent="0.2">
      <c r="A22" s="5" t="s">
        <v>81</v>
      </c>
      <c r="B22" s="5">
        <v>0.89499742833965157</v>
      </c>
      <c r="C22" s="5">
        <v>0.51633453169386978</v>
      </c>
      <c r="D22" s="5">
        <f>(B22-C22)/B22</f>
        <v>0.42308825104476078</v>
      </c>
    </row>
    <row r="23" spans="1:4" x14ac:dyDescent="0.2">
      <c r="A23" t="s">
        <v>83</v>
      </c>
      <c r="B23">
        <v>0.75558187064489557</v>
      </c>
      <c r="C23" s="4">
        <v>0.43008528933168849</v>
      </c>
      <c r="D23">
        <f>(B23-C23)/B23</f>
        <v>0.43078929492497348</v>
      </c>
    </row>
    <row r="24" spans="1:4" s="5" customFormat="1" x14ac:dyDescent="0.2">
      <c r="A24" s="5" t="s">
        <v>85</v>
      </c>
      <c r="B24" s="5">
        <v>0.63411939610227896</v>
      </c>
      <c r="C24" s="5">
        <v>0.35935187765001853</v>
      </c>
      <c r="D24" s="5">
        <f>(B24-C24)/B24</f>
        <v>0.43330565212350386</v>
      </c>
    </row>
    <row r="25" spans="1:4" s="5" customFormat="1" hidden="1" x14ac:dyDescent="0.2">
      <c r="A25" s="5" t="s">
        <v>97</v>
      </c>
      <c r="B25" s="5">
        <v>0.38347975253494382</v>
      </c>
      <c r="C25" s="5">
        <v>0.18877441834392361</v>
      </c>
      <c r="D25" s="5">
        <f>(B25-C25)/B25</f>
        <v>0.50773302346198335</v>
      </c>
    </row>
    <row r="26" spans="1:4" hidden="1" x14ac:dyDescent="0.2">
      <c r="A26" t="s">
        <v>102</v>
      </c>
      <c r="B26">
        <v>0.20940903262135091</v>
      </c>
      <c r="C26" s="4">
        <v>0.1026805965593154</v>
      </c>
      <c r="D26">
        <f>(B26-C26)/B26</f>
        <v>0.50966491142251569</v>
      </c>
    </row>
    <row r="27" spans="1:4" s="5" customFormat="1" x14ac:dyDescent="0.2">
      <c r="A27" s="5" t="s">
        <v>94</v>
      </c>
      <c r="B27" s="5">
        <v>0.41848895994129598</v>
      </c>
      <c r="C27" s="5">
        <v>0.20156429559230271</v>
      </c>
      <c r="D27" s="5">
        <f>(B27-C27)/B27</f>
        <v>0.51835217918155507</v>
      </c>
    </row>
    <row r="28" spans="1:4" hidden="1" x14ac:dyDescent="0.2">
      <c r="A28" t="s">
        <v>99</v>
      </c>
      <c r="B28">
        <v>0.33510884911672689</v>
      </c>
      <c r="C28" s="4">
        <v>0.1609262934797451</v>
      </c>
      <c r="D28">
        <f>(B28-C28)/B28</f>
        <v>0.51977903924676605</v>
      </c>
    </row>
    <row r="29" spans="1:4" hidden="1" x14ac:dyDescent="0.2">
      <c r="A29" t="s">
        <v>101</v>
      </c>
      <c r="B29">
        <v>0.26093942890072103</v>
      </c>
      <c r="C29" s="4">
        <v>0.1052559053221383</v>
      </c>
      <c r="D29">
        <f>(B29-C29)/B29</f>
        <v>0.59662705722336529</v>
      </c>
    </row>
    <row r="30" spans="1:4" s="5" customFormat="1" x14ac:dyDescent="0.2">
      <c r="A30" s="5" t="s">
        <v>89</v>
      </c>
      <c r="B30" s="5">
        <v>0.63069939519224183</v>
      </c>
      <c r="C30" s="5">
        <v>0.25202153407147793</v>
      </c>
      <c r="D30" s="5">
        <f>(B30-C30)/B30</f>
        <v>0.6004094248502333</v>
      </c>
    </row>
    <row r="31" spans="1:4" x14ac:dyDescent="0.2">
      <c r="A31" t="s">
        <v>91</v>
      </c>
      <c r="B31">
        <v>0.5829598364285774</v>
      </c>
      <c r="C31" s="4">
        <v>0.22833558662382269</v>
      </c>
      <c r="D31">
        <f>(B31-C31)/B31</f>
        <v>0.60831677869492862</v>
      </c>
    </row>
    <row r="32" spans="1:4" s="5" customFormat="1" x14ac:dyDescent="0.2">
      <c r="A32" s="5" t="s">
        <v>93</v>
      </c>
      <c r="B32" s="5">
        <v>0.60145016005359475</v>
      </c>
      <c r="C32" s="5">
        <v>0.20329725780834779</v>
      </c>
      <c r="D32" s="5">
        <f>(B32-C32)/B32</f>
        <v>0.66198818902927525</v>
      </c>
    </row>
    <row r="33" spans="1:4" s="5" customFormat="1" x14ac:dyDescent="0.2">
      <c r="A33" s="5" t="s">
        <v>92</v>
      </c>
      <c r="B33" s="5">
        <v>0.63664608697693903</v>
      </c>
      <c r="C33" s="5">
        <v>0.2069384891109875</v>
      </c>
      <c r="D33" s="5">
        <f>(B33-C33)/B33</f>
        <v>0.67495521712287954</v>
      </c>
    </row>
    <row r="34" spans="1:4" hidden="1" x14ac:dyDescent="0.2">
      <c r="A34" t="s">
        <v>112</v>
      </c>
      <c r="B34">
        <v>8.9784994781326413E-2</v>
      </c>
      <c r="C34" s="4">
        <v>2.6517554472223939E-2</v>
      </c>
      <c r="D34">
        <f>(B34-C34)/B34</f>
        <v>0.70465494221157887</v>
      </c>
    </row>
    <row r="35" spans="1:4" s="5" customFormat="1" hidden="1" x14ac:dyDescent="0.2">
      <c r="A35" s="5" t="s">
        <v>110</v>
      </c>
      <c r="B35" s="5">
        <v>0.14666255116230351</v>
      </c>
      <c r="C35" s="5">
        <v>3.005614270799108E-2</v>
      </c>
      <c r="D35" s="5">
        <f>(B35-C35)/B35</f>
        <v>0.79506600376309033</v>
      </c>
    </row>
    <row r="36" spans="1:4" s="5" customFormat="1" x14ac:dyDescent="0.2">
      <c r="A36" s="5" t="s">
        <v>98</v>
      </c>
      <c r="B36" s="5">
        <v>0.94911590819727221</v>
      </c>
      <c r="C36" s="5">
        <v>0.18268162124636159</v>
      </c>
      <c r="D36" s="5">
        <f>(B36-C36)/B36</f>
        <v>0.8075244344040734</v>
      </c>
    </row>
    <row r="37" spans="1:4" x14ac:dyDescent="0.2">
      <c r="A37" t="s">
        <v>106</v>
      </c>
      <c r="B37">
        <v>0.55365919808167441</v>
      </c>
      <c r="C37" s="4">
        <v>6.9317039209549167E-2</v>
      </c>
      <c r="D37">
        <f>(B37-C37)/B37</f>
        <v>0.87480197303734908</v>
      </c>
    </row>
    <row r="38" spans="1:4" s="5" customFormat="1" x14ac:dyDescent="0.2">
      <c r="A38" s="5" t="s">
        <v>107</v>
      </c>
      <c r="B38" s="5">
        <v>0.56236310855524951</v>
      </c>
      <c r="C38" s="5">
        <v>5.8293829945845158E-2</v>
      </c>
      <c r="D38" s="5">
        <f>(B38-C38)/B38</f>
        <v>0.89634129789273309</v>
      </c>
    </row>
    <row r="39" spans="1:4" s="5" customFormat="1" x14ac:dyDescent="0.2">
      <c r="A39" s="5" t="s">
        <v>103</v>
      </c>
      <c r="B39" s="5">
        <v>0.98189081561401503</v>
      </c>
      <c r="C39" s="5">
        <v>0.1015990065823537</v>
      </c>
      <c r="D39" s="5">
        <f>(B39-C39)/B39</f>
        <v>0.89652718513430663</v>
      </c>
    </row>
    <row r="40" spans="1:4" x14ac:dyDescent="0.2">
      <c r="A40" t="s">
        <v>111</v>
      </c>
      <c r="B40">
        <v>0.83800029407280818</v>
      </c>
      <c r="C40" s="4">
        <v>2.9258670478354738E-2</v>
      </c>
      <c r="D40">
        <f>(B40-C40)/B40</f>
        <v>0.96508513101331606</v>
      </c>
    </row>
    <row r="41" spans="1:4" x14ac:dyDescent="0.2">
      <c r="A41" t="s">
        <v>113</v>
      </c>
      <c r="B41">
        <v>0.75613949607594777</v>
      </c>
      <c r="C41" s="4">
        <v>2.234576943848994E-2</v>
      </c>
      <c r="D41">
        <f>(B41-C41)/B41</f>
        <v>0.97044755689333073</v>
      </c>
    </row>
    <row r="42" spans="1:4" hidden="1" x14ac:dyDescent="0.2">
      <c r="A42" t="s">
        <v>114</v>
      </c>
      <c r="B42">
        <v>0.1838955046597838</v>
      </c>
      <c r="C42" s="4">
        <v>3.8717732382643169E-3</v>
      </c>
      <c r="D42">
        <f>(B42-C42)/B42</f>
        <v>0.97894579725900699</v>
      </c>
    </row>
    <row r="43" spans="1:4" hidden="1" x14ac:dyDescent="0.2">
      <c r="A43" t="s">
        <v>117</v>
      </c>
      <c r="B43">
        <v>7.4944891600176269E-2</v>
      </c>
      <c r="C43" s="4">
        <v>1.554717654576753E-3</v>
      </c>
      <c r="D43">
        <f>(B43-C43)/B43</f>
        <v>0.97925518842737114</v>
      </c>
    </row>
    <row r="44" spans="1:4" x14ac:dyDescent="0.2">
      <c r="A44" t="s">
        <v>116</v>
      </c>
      <c r="B44">
        <v>0.64842505570974551</v>
      </c>
      <c r="C44" s="4">
        <v>2.0667574808596362E-3</v>
      </c>
      <c r="D44">
        <f>(B44-C44)/B44</f>
        <v>0.99681265018576837</v>
      </c>
    </row>
    <row r="45" spans="1:4" x14ac:dyDescent="0.2">
      <c r="A45" t="s">
        <v>118</v>
      </c>
      <c r="B45">
        <v>0.49813542161242141</v>
      </c>
      <c r="C45" s="4">
        <v>1.0779183915379431E-3</v>
      </c>
      <c r="D45">
        <f>(B45-C45)/B45</f>
        <v>0.99783609367097648</v>
      </c>
    </row>
    <row r="46" spans="1:4" x14ac:dyDescent="0.2">
      <c r="A46" t="s">
        <v>147</v>
      </c>
      <c r="B46">
        <v>0.99654493534123922</v>
      </c>
      <c r="C46" s="4">
        <v>0</v>
      </c>
    </row>
    <row r="47" spans="1:4" hidden="1" x14ac:dyDescent="0.2">
      <c r="A47" t="s">
        <v>207</v>
      </c>
      <c r="B47">
        <v>8.3342649817790979E-2</v>
      </c>
      <c r="C47" s="4">
        <v>0</v>
      </c>
    </row>
    <row r="48" spans="1:4" x14ac:dyDescent="0.2">
      <c r="A48" t="s">
        <v>162</v>
      </c>
      <c r="B48">
        <v>1</v>
      </c>
      <c r="C48" s="4">
        <v>0</v>
      </c>
    </row>
    <row r="49" spans="1:3" x14ac:dyDescent="0.2">
      <c r="A49" t="s">
        <v>185</v>
      </c>
      <c r="B49">
        <v>0.94577554304766387</v>
      </c>
      <c r="C49" s="4">
        <v>0</v>
      </c>
    </row>
    <row r="50" spans="1:3" hidden="1" x14ac:dyDescent="0.2">
      <c r="A50" t="s">
        <v>179</v>
      </c>
      <c r="B50">
        <v>0</v>
      </c>
      <c r="C50" s="4">
        <v>0</v>
      </c>
    </row>
    <row r="51" spans="1:3" hidden="1" x14ac:dyDescent="0.2">
      <c r="A51" t="s">
        <v>161</v>
      </c>
      <c r="B51">
        <v>0</v>
      </c>
      <c r="C51" s="4">
        <v>0</v>
      </c>
    </row>
    <row r="52" spans="1:3" hidden="1" x14ac:dyDescent="0.2">
      <c r="A52" t="s">
        <v>211</v>
      </c>
      <c r="B52">
        <v>0</v>
      </c>
      <c r="C52" s="4">
        <v>0</v>
      </c>
    </row>
    <row r="53" spans="1:3" hidden="1" x14ac:dyDescent="0.2">
      <c r="A53" t="s">
        <v>128</v>
      </c>
      <c r="B53">
        <v>0</v>
      </c>
      <c r="C53" s="4">
        <v>0</v>
      </c>
    </row>
    <row r="54" spans="1:3" hidden="1" x14ac:dyDescent="0.2">
      <c r="A54" t="s">
        <v>175</v>
      </c>
      <c r="B54">
        <v>0</v>
      </c>
      <c r="C54" s="4">
        <v>0</v>
      </c>
    </row>
    <row r="55" spans="1:3" hidden="1" x14ac:dyDescent="0.2">
      <c r="A55" t="s">
        <v>127</v>
      </c>
      <c r="B55">
        <v>0.109119943016688</v>
      </c>
      <c r="C55" s="4">
        <v>0</v>
      </c>
    </row>
    <row r="56" spans="1:3" hidden="1" x14ac:dyDescent="0.2">
      <c r="A56" t="s">
        <v>194</v>
      </c>
      <c r="B56">
        <v>0</v>
      </c>
      <c r="C56" s="4">
        <v>0</v>
      </c>
    </row>
    <row r="57" spans="1:3" hidden="1" x14ac:dyDescent="0.2">
      <c r="A57" t="s">
        <v>204</v>
      </c>
      <c r="B57">
        <v>0</v>
      </c>
      <c r="C57" s="4">
        <v>0</v>
      </c>
    </row>
    <row r="58" spans="1:3" hidden="1" x14ac:dyDescent="0.2">
      <c r="A58" t="s">
        <v>157</v>
      </c>
      <c r="B58">
        <v>0</v>
      </c>
      <c r="C58" s="4">
        <v>0</v>
      </c>
    </row>
    <row r="59" spans="1:3" hidden="1" x14ac:dyDescent="0.2">
      <c r="A59" t="s">
        <v>199</v>
      </c>
      <c r="B59">
        <v>0</v>
      </c>
      <c r="C59" s="4">
        <v>0</v>
      </c>
    </row>
    <row r="60" spans="1:3" hidden="1" x14ac:dyDescent="0.2">
      <c r="A60" t="s">
        <v>186</v>
      </c>
      <c r="B60">
        <v>0</v>
      </c>
      <c r="C60" s="4">
        <v>0</v>
      </c>
    </row>
    <row r="61" spans="1:3" hidden="1" x14ac:dyDescent="0.2">
      <c r="A61" t="s">
        <v>124</v>
      </c>
      <c r="B61">
        <v>3.6455054771933733E-2</v>
      </c>
      <c r="C61" s="4">
        <v>0</v>
      </c>
    </row>
    <row r="62" spans="1:3" hidden="1" x14ac:dyDescent="0.2">
      <c r="A62" t="s">
        <v>121</v>
      </c>
      <c r="B62">
        <v>0</v>
      </c>
      <c r="C62" s="4">
        <v>0</v>
      </c>
    </row>
    <row r="63" spans="1:3" hidden="1" x14ac:dyDescent="0.2">
      <c r="A63" t="s">
        <v>193</v>
      </c>
      <c r="B63">
        <v>0</v>
      </c>
      <c r="C63" s="4">
        <v>0</v>
      </c>
    </row>
    <row r="64" spans="1:3" hidden="1" x14ac:dyDescent="0.2">
      <c r="A64" t="s">
        <v>146</v>
      </c>
      <c r="B64">
        <v>3.4546098513927002E-2</v>
      </c>
      <c r="C64" s="4">
        <v>0</v>
      </c>
    </row>
    <row r="65" spans="1:3" hidden="1" x14ac:dyDescent="0.2">
      <c r="A65" t="s">
        <v>213</v>
      </c>
      <c r="B65">
        <v>0</v>
      </c>
      <c r="C65" s="4">
        <v>0</v>
      </c>
    </row>
    <row r="66" spans="1:3" hidden="1" x14ac:dyDescent="0.2">
      <c r="A66" t="s">
        <v>169</v>
      </c>
      <c r="B66">
        <v>0.1316923352210734</v>
      </c>
      <c r="C66" s="4">
        <v>0</v>
      </c>
    </row>
    <row r="67" spans="1:3" x14ac:dyDescent="0.2">
      <c r="A67" t="s">
        <v>170</v>
      </c>
      <c r="B67">
        <v>1</v>
      </c>
      <c r="C67" s="4">
        <v>0</v>
      </c>
    </row>
    <row r="68" spans="1:3" hidden="1" x14ac:dyDescent="0.2">
      <c r="A68" t="s">
        <v>168</v>
      </c>
      <c r="B68">
        <v>0</v>
      </c>
      <c r="C68" s="4">
        <v>0</v>
      </c>
    </row>
    <row r="69" spans="1:3" hidden="1" x14ac:dyDescent="0.2">
      <c r="A69" t="s">
        <v>126</v>
      </c>
      <c r="B69">
        <v>2.6319070534272831E-2</v>
      </c>
      <c r="C69" s="4">
        <v>0</v>
      </c>
    </row>
    <row r="70" spans="1:3" hidden="1" x14ac:dyDescent="0.2">
      <c r="A70" t="s">
        <v>138</v>
      </c>
      <c r="B70">
        <v>3.2381276034534168E-2</v>
      </c>
      <c r="C70" s="4">
        <v>0</v>
      </c>
    </row>
    <row r="71" spans="1:3" hidden="1" x14ac:dyDescent="0.2">
      <c r="A71" t="s">
        <v>140</v>
      </c>
      <c r="B71">
        <v>0</v>
      </c>
      <c r="C71" s="4">
        <v>0</v>
      </c>
    </row>
    <row r="72" spans="1:3" hidden="1" x14ac:dyDescent="0.2">
      <c r="A72" t="s">
        <v>178</v>
      </c>
      <c r="B72">
        <v>0</v>
      </c>
      <c r="C72" s="4">
        <v>0</v>
      </c>
    </row>
    <row r="73" spans="1:3" hidden="1" x14ac:dyDescent="0.2">
      <c r="A73" t="s">
        <v>203</v>
      </c>
      <c r="B73">
        <v>0</v>
      </c>
      <c r="C73" s="4">
        <v>0</v>
      </c>
    </row>
    <row r="74" spans="1:3" hidden="1" x14ac:dyDescent="0.2">
      <c r="A74" t="s">
        <v>133</v>
      </c>
      <c r="B74">
        <v>0</v>
      </c>
      <c r="C74" s="4">
        <v>0</v>
      </c>
    </row>
    <row r="75" spans="1:3" hidden="1" x14ac:dyDescent="0.2">
      <c r="A75" t="s">
        <v>202</v>
      </c>
      <c r="B75">
        <v>0</v>
      </c>
      <c r="C75" s="4">
        <v>0</v>
      </c>
    </row>
    <row r="76" spans="1:3" hidden="1" x14ac:dyDescent="0.2">
      <c r="A76" t="s">
        <v>132</v>
      </c>
      <c r="B76">
        <v>0</v>
      </c>
      <c r="C76" s="4">
        <v>0</v>
      </c>
    </row>
    <row r="77" spans="1:3" hidden="1" x14ac:dyDescent="0.2">
      <c r="A77" t="s">
        <v>131</v>
      </c>
      <c r="B77">
        <v>0</v>
      </c>
      <c r="C77" s="4">
        <v>0</v>
      </c>
    </row>
    <row r="78" spans="1:3" hidden="1" x14ac:dyDescent="0.2">
      <c r="A78" t="s">
        <v>143</v>
      </c>
      <c r="B78">
        <v>0</v>
      </c>
      <c r="C78" s="4">
        <v>0</v>
      </c>
    </row>
    <row r="79" spans="1:3" hidden="1" x14ac:dyDescent="0.2">
      <c r="A79" t="s">
        <v>188</v>
      </c>
      <c r="B79">
        <v>1.205730823096522E-2</v>
      </c>
      <c r="C79" s="4">
        <v>0</v>
      </c>
    </row>
    <row r="80" spans="1:3" hidden="1" x14ac:dyDescent="0.2">
      <c r="A80" t="s">
        <v>200</v>
      </c>
      <c r="B80">
        <v>2.1673063719159509E-2</v>
      </c>
      <c r="C80" s="4">
        <v>0</v>
      </c>
    </row>
    <row r="81" spans="1:3" hidden="1" x14ac:dyDescent="0.2">
      <c r="A81" t="s">
        <v>189</v>
      </c>
      <c r="B81">
        <v>0</v>
      </c>
      <c r="C81" s="4">
        <v>0</v>
      </c>
    </row>
    <row r="82" spans="1:3" x14ac:dyDescent="0.2">
      <c r="A82" t="s">
        <v>154</v>
      </c>
      <c r="B82">
        <v>0.93988430666335376</v>
      </c>
      <c r="C82" s="4">
        <v>0</v>
      </c>
    </row>
    <row r="83" spans="1:3" hidden="1" x14ac:dyDescent="0.2">
      <c r="A83" t="s">
        <v>174</v>
      </c>
      <c r="B83">
        <v>0</v>
      </c>
      <c r="C83" s="4">
        <v>0</v>
      </c>
    </row>
    <row r="84" spans="1:3" hidden="1" x14ac:dyDescent="0.2">
      <c r="A84" t="s">
        <v>208</v>
      </c>
      <c r="B84">
        <v>0</v>
      </c>
      <c r="C84" s="4">
        <v>0</v>
      </c>
    </row>
    <row r="85" spans="1:3" x14ac:dyDescent="0.2">
      <c r="A85" t="s">
        <v>145</v>
      </c>
      <c r="B85">
        <v>0.95062316840643091</v>
      </c>
      <c r="C85" s="4">
        <v>0</v>
      </c>
    </row>
    <row r="86" spans="1:3" hidden="1" x14ac:dyDescent="0.2">
      <c r="A86" t="s">
        <v>120</v>
      </c>
      <c r="B86">
        <v>0.14757800296150009</v>
      </c>
      <c r="C86" s="4">
        <v>0</v>
      </c>
    </row>
    <row r="87" spans="1:3" hidden="1" x14ac:dyDescent="0.2">
      <c r="A87" t="s">
        <v>180</v>
      </c>
      <c r="B87">
        <v>0</v>
      </c>
      <c r="C87" s="4">
        <v>0</v>
      </c>
    </row>
    <row r="88" spans="1:3" hidden="1" x14ac:dyDescent="0.2">
      <c r="A88" t="s">
        <v>181</v>
      </c>
      <c r="B88">
        <v>0</v>
      </c>
      <c r="C88" s="4">
        <v>0</v>
      </c>
    </row>
    <row r="89" spans="1:3" hidden="1" x14ac:dyDescent="0.2">
      <c r="A89" t="s">
        <v>155</v>
      </c>
      <c r="B89">
        <v>0.1738335792401004</v>
      </c>
      <c r="C89" s="4">
        <v>0</v>
      </c>
    </row>
    <row r="90" spans="1:3" hidden="1" x14ac:dyDescent="0.2">
      <c r="A90" t="s">
        <v>119</v>
      </c>
      <c r="B90">
        <v>0.14228002243001259</v>
      </c>
      <c r="C90" s="4">
        <v>0</v>
      </c>
    </row>
    <row r="91" spans="1:3" hidden="1" x14ac:dyDescent="0.2">
      <c r="A91" t="s">
        <v>165</v>
      </c>
      <c r="B91">
        <v>0</v>
      </c>
      <c r="C91" s="4">
        <v>0</v>
      </c>
    </row>
    <row r="92" spans="1:3" hidden="1" x14ac:dyDescent="0.2">
      <c r="A92" t="s">
        <v>144</v>
      </c>
      <c r="B92">
        <v>0</v>
      </c>
      <c r="C92" s="4">
        <v>0</v>
      </c>
    </row>
    <row r="93" spans="1:3" hidden="1" x14ac:dyDescent="0.2">
      <c r="A93" t="s">
        <v>166</v>
      </c>
      <c r="B93">
        <v>0.31371734318338562</v>
      </c>
      <c r="C93" s="4">
        <v>0</v>
      </c>
    </row>
    <row r="94" spans="1:3" hidden="1" x14ac:dyDescent="0.2">
      <c r="A94" t="s">
        <v>172</v>
      </c>
      <c r="B94">
        <v>9.8719269549513905E-2</v>
      </c>
      <c r="C94" s="4">
        <v>0</v>
      </c>
    </row>
    <row r="95" spans="1:3" hidden="1" x14ac:dyDescent="0.2">
      <c r="A95" t="s">
        <v>130</v>
      </c>
      <c r="B95">
        <v>0.18672813176707881</v>
      </c>
      <c r="C95" s="4">
        <v>0</v>
      </c>
    </row>
    <row r="96" spans="1:3" x14ac:dyDescent="0.2">
      <c r="A96" t="s">
        <v>212</v>
      </c>
      <c r="B96">
        <v>0.62090901248662356</v>
      </c>
      <c r="C96" s="4">
        <v>0</v>
      </c>
    </row>
    <row r="97" spans="1:3" hidden="1" x14ac:dyDescent="0.2">
      <c r="A97" t="s">
        <v>129</v>
      </c>
      <c r="B97">
        <v>1.15342950759947E-2</v>
      </c>
      <c r="C97" s="4">
        <v>0</v>
      </c>
    </row>
    <row r="98" spans="1:3" hidden="1" x14ac:dyDescent="0.2">
      <c r="A98" t="s">
        <v>136</v>
      </c>
      <c r="B98">
        <v>0</v>
      </c>
      <c r="C98" s="4">
        <v>0</v>
      </c>
    </row>
    <row r="99" spans="1:3" hidden="1" x14ac:dyDescent="0.2">
      <c r="A99" t="s">
        <v>148</v>
      </c>
      <c r="B99">
        <v>9.4040657321187743E-2</v>
      </c>
      <c r="C99" s="4">
        <v>0</v>
      </c>
    </row>
    <row r="100" spans="1:3" x14ac:dyDescent="0.2">
      <c r="A100" t="s">
        <v>167</v>
      </c>
      <c r="B100">
        <v>0.58075918636055968</v>
      </c>
      <c r="C100" s="4">
        <v>0</v>
      </c>
    </row>
    <row r="101" spans="1:3" hidden="1" x14ac:dyDescent="0.2">
      <c r="A101" t="s">
        <v>184</v>
      </c>
      <c r="B101">
        <v>6.0921004040354658E-2</v>
      </c>
      <c r="C101" s="4">
        <v>0</v>
      </c>
    </row>
    <row r="102" spans="1:3" hidden="1" x14ac:dyDescent="0.2">
      <c r="A102" t="s">
        <v>182</v>
      </c>
      <c r="B102">
        <v>0</v>
      </c>
      <c r="C102" s="4">
        <v>0</v>
      </c>
    </row>
    <row r="103" spans="1:3" hidden="1" x14ac:dyDescent="0.2">
      <c r="A103" t="s">
        <v>173</v>
      </c>
      <c r="B103">
        <v>0.11437461360618249</v>
      </c>
      <c r="C103" s="4">
        <v>0</v>
      </c>
    </row>
    <row r="104" spans="1:3" hidden="1" x14ac:dyDescent="0.2">
      <c r="A104" t="s">
        <v>149</v>
      </c>
      <c r="B104">
        <v>0</v>
      </c>
      <c r="C104" s="4">
        <v>0</v>
      </c>
    </row>
    <row r="105" spans="1:3" hidden="1" x14ac:dyDescent="0.2">
      <c r="A105" t="s">
        <v>139</v>
      </c>
      <c r="B105">
        <v>0.19101102440010409</v>
      </c>
      <c r="C105" s="4">
        <v>0</v>
      </c>
    </row>
    <row r="106" spans="1:3" hidden="1" x14ac:dyDescent="0.2">
      <c r="A106" t="s">
        <v>159</v>
      </c>
      <c r="B106">
        <v>0</v>
      </c>
      <c r="C106" s="4">
        <v>0</v>
      </c>
    </row>
    <row r="107" spans="1:3" hidden="1" x14ac:dyDescent="0.2">
      <c r="A107" t="s">
        <v>191</v>
      </c>
      <c r="B107">
        <v>7.9966812582989738E-2</v>
      </c>
      <c r="C107" s="4">
        <v>0</v>
      </c>
    </row>
    <row r="108" spans="1:3" hidden="1" x14ac:dyDescent="0.2">
      <c r="A108" t="s">
        <v>122</v>
      </c>
      <c r="B108">
        <v>0.1294931280052935</v>
      </c>
      <c r="C108" s="4">
        <v>0</v>
      </c>
    </row>
    <row r="109" spans="1:3" hidden="1" x14ac:dyDescent="0.2">
      <c r="A109" t="s">
        <v>198</v>
      </c>
      <c r="B109">
        <v>0</v>
      </c>
      <c r="C109" s="4">
        <v>0</v>
      </c>
    </row>
    <row r="110" spans="1:3" hidden="1" x14ac:dyDescent="0.2">
      <c r="A110" t="s">
        <v>171</v>
      </c>
      <c r="B110">
        <v>0.17151770223376461</v>
      </c>
      <c r="C110" s="4">
        <v>0</v>
      </c>
    </row>
    <row r="111" spans="1:3" x14ac:dyDescent="0.2">
      <c r="A111" t="s">
        <v>153</v>
      </c>
      <c r="B111">
        <v>0.82180906098186224</v>
      </c>
      <c r="C111" s="4">
        <v>0</v>
      </c>
    </row>
    <row r="112" spans="1:3" hidden="1" x14ac:dyDescent="0.2">
      <c r="A112" t="s">
        <v>137</v>
      </c>
      <c r="B112">
        <v>0</v>
      </c>
      <c r="C112" s="4">
        <v>0</v>
      </c>
    </row>
    <row r="113" spans="1:3" hidden="1" x14ac:dyDescent="0.2">
      <c r="A113" t="s">
        <v>205</v>
      </c>
      <c r="B113">
        <v>9.7897689445679888E-3</v>
      </c>
      <c r="C113" s="4">
        <v>0</v>
      </c>
    </row>
    <row r="114" spans="1:3" hidden="1" x14ac:dyDescent="0.2">
      <c r="A114" t="s">
        <v>150</v>
      </c>
      <c r="B114">
        <v>0</v>
      </c>
      <c r="C114" s="4">
        <v>0</v>
      </c>
    </row>
    <row r="115" spans="1:3" hidden="1" x14ac:dyDescent="0.2">
      <c r="A115" t="s">
        <v>160</v>
      </c>
      <c r="B115">
        <v>0</v>
      </c>
      <c r="C115" s="4">
        <v>0</v>
      </c>
    </row>
    <row r="116" spans="1:3" hidden="1" x14ac:dyDescent="0.2">
      <c r="A116" t="s">
        <v>187</v>
      </c>
      <c r="B116">
        <v>0</v>
      </c>
      <c r="C116" s="4">
        <v>0</v>
      </c>
    </row>
    <row r="117" spans="1:3" hidden="1" x14ac:dyDescent="0.2">
      <c r="A117" t="s">
        <v>156</v>
      </c>
      <c r="B117">
        <v>0.18350312133591451</v>
      </c>
      <c r="C117" s="4">
        <v>0</v>
      </c>
    </row>
    <row r="118" spans="1:3" hidden="1" x14ac:dyDescent="0.2">
      <c r="A118" t="s">
        <v>196</v>
      </c>
      <c r="B118">
        <v>0</v>
      </c>
      <c r="C118" s="4">
        <v>0</v>
      </c>
    </row>
    <row r="119" spans="1:3" hidden="1" x14ac:dyDescent="0.2">
      <c r="A119" t="s">
        <v>176</v>
      </c>
      <c r="B119">
        <v>0.16507850251787329</v>
      </c>
      <c r="C119" s="4">
        <v>0</v>
      </c>
    </row>
    <row r="120" spans="1:3" hidden="1" x14ac:dyDescent="0.2">
      <c r="A120" t="s">
        <v>190</v>
      </c>
      <c r="B120">
        <v>0</v>
      </c>
      <c r="C120" s="4">
        <v>0</v>
      </c>
    </row>
    <row r="121" spans="1:3" hidden="1" x14ac:dyDescent="0.2">
      <c r="A121" t="s">
        <v>201</v>
      </c>
      <c r="B121">
        <v>0</v>
      </c>
      <c r="C121" s="4">
        <v>0</v>
      </c>
    </row>
    <row r="122" spans="1:3" hidden="1" x14ac:dyDescent="0.2">
      <c r="A122" t="s">
        <v>135</v>
      </c>
      <c r="B122">
        <v>0</v>
      </c>
      <c r="C122" s="4">
        <v>0</v>
      </c>
    </row>
    <row r="123" spans="1:3" hidden="1" x14ac:dyDescent="0.2">
      <c r="A123" t="s">
        <v>195</v>
      </c>
      <c r="B123">
        <v>0</v>
      </c>
      <c r="C123" s="4">
        <v>0</v>
      </c>
    </row>
    <row r="124" spans="1:3" hidden="1" x14ac:dyDescent="0.2">
      <c r="A124" t="s">
        <v>142</v>
      </c>
      <c r="B124">
        <v>9.3255133693677401E-3</v>
      </c>
      <c r="C124" s="4">
        <v>0</v>
      </c>
    </row>
    <row r="125" spans="1:3" x14ac:dyDescent="0.2">
      <c r="A125" t="s">
        <v>151</v>
      </c>
      <c r="B125">
        <v>0.51650287070644108</v>
      </c>
      <c r="C125" s="4">
        <v>0</v>
      </c>
    </row>
    <row r="126" spans="1:3" hidden="1" x14ac:dyDescent="0.2">
      <c r="A126" t="s">
        <v>134</v>
      </c>
      <c r="B126">
        <v>7.1824110252000943E-3</v>
      </c>
      <c r="C126" s="4">
        <v>0</v>
      </c>
    </row>
    <row r="127" spans="1:3" hidden="1" x14ac:dyDescent="0.2">
      <c r="A127" t="s">
        <v>125</v>
      </c>
      <c r="B127">
        <v>0</v>
      </c>
      <c r="C127" s="4">
        <v>0</v>
      </c>
    </row>
    <row r="128" spans="1:3" hidden="1" x14ac:dyDescent="0.2">
      <c r="A128" t="s">
        <v>209</v>
      </c>
      <c r="B128">
        <v>0.1070312210871479</v>
      </c>
      <c r="C128" s="4">
        <v>0</v>
      </c>
    </row>
    <row r="129" spans="1:3" hidden="1" x14ac:dyDescent="0.2">
      <c r="A129" t="s">
        <v>183</v>
      </c>
      <c r="B129">
        <v>2.105825835678523E-2</v>
      </c>
      <c r="C129" s="4">
        <v>0</v>
      </c>
    </row>
    <row r="130" spans="1:3" hidden="1" x14ac:dyDescent="0.2">
      <c r="A130" t="s">
        <v>197</v>
      </c>
      <c r="B130">
        <v>2.150447677356301E-2</v>
      </c>
      <c r="C130" s="4">
        <v>0</v>
      </c>
    </row>
    <row r="131" spans="1:3" hidden="1" x14ac:dyDescent="0.2">
      <c r="A131" t="s">
        <v>206</v>
      </c>
      <c r="B131">
        <v>0</v>
      </c>
      <c r="C131" s="4">
        <v>0</v>
      </c>
    </row>
    <row r="132" spans="1:3" hidden="1" x14ac:dyDescent="0.2">
      <c r="A132" t="s">
        <v>163</v>
      </c>
      <c r="B132">
        <v>0</v>
      </c>
      <c r="C132" s="4">
        <v>0</v>
      </c>
    </row>
    <row r="133" spans="1:3" hidden="1" x14ac:dyDescent="0.2">
      <c r="A133" t="s">
        <v>164</v>
      </c>
      <c r="B133">
        <v>0</v>
      </c>
      <c r="C133" s="4">
        <v>0</v>
      </c>
    </row>
    <row r="134" spans="1:3" hidden="1" x14ac:dyDescent="0.2">
      <c r="A134" t="s">
        <v>177</v>
      </c>
      <c r="B134">
        <v>0</v>
      </c>
      <c r="C134" s="4">
        <v>0</v>
      </c>
    </row>
    <row r="135" spans="1:3" hidden="1" x14ac:dyDescent="0.2">
      <c r="A135" t="s">
        <v>152</v>
      </c>
      <c r="B135">
        <v>0.119264579858942</v>
      </c>
      <c r="C135" s="4">
        <v>0</v>
      </c>
    </row>
    <row r="136" spans="1:3" hidden="1" x14ac:dyDescent="0.2">
      <c r="A136" t="s">
        <v>158</v>
      </c>
      <c r="B136">
        <v>0</v>
      </c>
      <c r="C136" s="4">
        <v>0</v>
      </c>
    </row>
    <row r="137" spans="1:3" hidden="1" x14ac:dyDescent="0.2">
      <c r="A137" t="s">
        <v>192</v>
      </c>
      <c r="B137">
        <v>0</v>
      </c>
      <c r="C137" s="4">
        <v>0</v>
      </c>
    </row>
    <row r="138" spans="1:3" hidden="1" x14ac:dyDescent="0.2">
      <c r="A138" t="s">
        <v>141</v>
      </c>
      <c r="B138">
        <v>0</v>
      </c>
      <c r="C138" s="4">
        <v>0</v>
      </c>
    </row>
    <row r="139" spans="1:3" hidden="1" x14ac:dyDescent="0.2">
      <c r="A139" t="s">
        <v>210</v>
      </c>
      <c r="B139">
        <v>0</v>
      </c>
      <c r="C139" s="4">
        <v>0</v>
      </c>
    </row>
    <row r="140" spans="1:3" hidden="1" x14ac:dyDescent="0.2">
      <c r="A140" t="s">
        <v>123</v>
      </c>
      <c r="B140">
        <v>0</v>
      </c>
      <c r="C140" s="4">
        <v>0</v>
      </c>
    </row>
    <row r="141" spans="1:3" hidden="1" x14ac:dyDescent="0.2"/>
    <row r="142" spans="1:3" hidden="1" x14ac:dyDescent="0.2"/>
    <row r="143" spans="1:3" hidden="1" x14ac:dyDescent="0.2"/>
    <row r="144" spans="1:3" hidden="1" x14ac:dyDescent="0.2"/>
    <row r="145" hidden="1" x14ac:dyDescent="0.2"/>
  </sheetData>
  <autoFilter ref="B1:B145" xr:uid="{DDB0DE58-81CB-5346-980D-3114C8921C2C}">
    <filterColumn colId="0">
      <customFilters>
        <customFilter operator="greaterThan" val="0.4"/>
      </customFilters>
    </filterColumn>
  </autoFilter>
  <sortState xmlns:xlrd2="http://schemas.microsoft.com/office/spreadsheetml/2017/richdata2" ref="A2:D144">
    <sortCondition ref="D1:D1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2024-02-14T02:03:06Z</dcterms:created>
  <dcterms:modified xsi:type="dcterms:W3CDTF">2024-02-14T08:52:00Z</dcterms:modified>
</cp:coreProperties>
</file>