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xluhon/Documents/GitHub/De-nevo-protein-3D-structure-yeast/data/"/>
    </mc:Choice>
  </mc:AlternateContent>
  <xr:revisionPtr revIDLastSave="0" documentId="13_ncr:1_{BAE14273-18BE-FF4B-BC01-2F4799A2B18A}" xr6:coauthVersionLast="47" xr6:coauthVersionMax="47" xr10:uidLastSave="{00000000-0000-0000-0000-000000000000}"/>
  <bookViews>
    <workbookView xWindow="34480" yWindow="2360" windowWidth="26880" windowHeight="16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1" l="1"/>
  <c r="E15" i="1"/>
  <c r="F15" i="1"/>
  <c r="G15" i="1"/>
  <c r="H15" i="1"/>
  <c r="I15" i="1"/>
  <c r="J15" i="1"/>
  <c r="J25" i="1" s="1"/>
  <c r="K15" i="1"/>
  <c r="L15" i="1"/>
  <c r="M15" i="1"/>
  <c r="N15" i="1"/>
  <c r="O15" i="1"/>
  <c r="P15" i="1"/>
  <c r="Q15" i="1"/>
  <c r="R15" i="1"/>
  <c r="S15" i="1"/>
  <c r="T15" i="1"/>
  <c r="U15" i="1"/>
  <c r="V15" i="1"/>
  <c r="V25" i="1" s="1"/>
  <c r="W15" i="1"/>
  <c r="X15" i="1"/>
  <c r="Y15" i="1"/>
  <c r="Z15" i="1"/>
  <c r="AA15" i="1"/>
  <c r="AB15" i="1"/>
  <c r="AC15" i="1"/>
  <c r="AD15" i="1"/>
  <c r="AE15" i="1"/>
  <c r="AF15" i="1"/>
  <c r="AG15" i="1"/>
  <c r="AH15" i="1"/>
  <c r="AH25" i="1" s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T25" i="1" s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F25" i="1" s="1"/>
  <c r="BG15" i="1"/>
  <c r="D16" i="1"/>
  <c r="E16" i="1"/>
  <c r="F16" i="1"/>
  <c r="G16" i="1"/>
  <c r="H16" i="1"/>
  <c r="I16" i="1"/>
  <c r="J16" i="1"/>
  <c r="K16" i="1"/>
  <c r="L16" i="1"/>
  <c r="M16" i="1"/>
  <c r="N16" i="1"/>
  <c r="N26" i="1" s="1"/>
  <c r="O16" i="1"/>
  <c r="P16" i="1"/>
  <c r="Q16" i="1"/>
  <c r="R16" i="1"/>
  <c r="S16" i="1"/>
  <c r="T16" i="1"/>
  <c r="U16" i="1"/>
  <c r="V16" i="1"/>
  <c r="W16" i="1"/>
  <c r="X16" i="1"/>
  <c r="Y16" i="1"/>
  <c r="Z16" i="1"/>
  <c r="Z26" i="1" s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L26" i="1" s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X26" i="1" s="1"/>
  <c r="AY16" i="1"/>
  <c r="AZ16" i="1"/>
  <c r="BA16" i="1"/>
  <c r="BB16" i="1"/>
  <c r="BC16" i="1"/>
  <c r="BD16" i="1"/>
  <c r="BE16" i="1"/>
  <c r="BF16" i="1"/>
  <c r="BG16" i="1"/>
  <c r="D17" i="1"/>
  <c r="E17" i="1"/>
  <c r="F17" i="1"/>
  <c r="F27" i="1" s="1"/>
  <c r="G17" i="1"/>
  <c r="H17" i="1"/>
  <c r="I17" i="1"/>
  <c r="J17" i="1"/>
  <c r="K17" i="1"/>
  <c r="L17" i="1"/>
  <c r="M17" i="1"/>
  <c r="N17" i="1"/>
  <c r="O17" i="1"/>
  <c r="P17" i="1"/>
  <c r="Q17" i="1"/>
  <c r="R17" i="1"/>
  <c r="R27" i="1" s="1"/>
  <c r="S17" i="1"/>
  <c r="T17" i="1"/>
  <c r="U17" i="1"/>
  <c r="V17" i="1"/>
  <c r="W17" i="1"/>
  <c r="X17" i="1"/>
  <c r="Y17" i="1"/>
  <c r="Z17" i="1"/>
  <c r="AA17" i="1"/>
  <c r="AB17" i="1"/>
  <c r="AC17" i="1"/>
  <c r="AD17" i="1"/>
  <c r="AD27" i="1" s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P27" i="1" s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B27" i="1" s="1"/>
  <c r="BC17" i="1"/>
  <c r="BD17" i="1"/>
  <c r="BE17" i="1"/>
  <c r="BF17" i="1"/>
  <c r="BG17" i="1"/>
  <c r="D18" i="1"/>
  <c r="E18" i="1"/>
  <c r="F18" i="1"/>
  <c r="G18" i="1"/>
  <c r="H18" i="1"/>
  <c r="I18" i="1"/>
  <c r="J18" i="1"/>
  <c r="J28" i="1" s="1"/>
  <c r="K18" i="1"/>
  <c r="L18" i="1"/>
  <c r="M18" i="1"/>
  <c r="N18" i="1"/>
  <c r="O18" i="1"/>
  <c r="P18" i="1"/>
  <c r="Q18" i="1"/>
  <c r="R18" i="1"/>
  <c r="S18" i="1"/>
  <c r="T18" i="1"/>
  <c r="U18" i="1"/>
  <c r="V18" i="1"/>
  <c r="V28" i="1" s="1"/>
  <c r="W18" i="1"/>
  <c r="X18" i="1"/>
  <c r="Y18" i="1"/>
  <c r="Z18" i="1"/>
  <c r="AA18" i="1"/>
  <c r="AB18" i="1"/>
  <c r="AC18" i="1"/>
  <c r="AD18" i="1"/>
  <c r="AE18" i="1"/>
  <c r="AF18" i="1"/>
  <c r="AG18" i="1"/>
  <c r="AH18" i="1"/>
  <c r="AH28" i="1" s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T28" i="1" s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F28" i="1" s="1"/>
  <c r="BG18" i="1"/>
  <c r="D19" i="1"/>
  <c r="E19" i="1"/>
  <c r="F19" i="1"/>
  <c r="G19" i="1"/>
  <c r="H19" i="1"/>
  <c r="I19" i="1"/>
  <c r="J19" i="1"/>
  <c r="K19" i="1"/>
  <c r="L19" i="1"/>
  <c r="M19" i="1"/>
  <c r="N19" i="1"/>
  <c r="N29" i="1" s="1"/>
  <c r="O19" i="1"/>
  <c r="P19" i="1"/>
  <c r="Q19" i="1"/>
  <c r="R19" i="1"/>
  <c r="S19" i="1"/>
  <c r="T19" i="1"/>
  <c r="U19" i="1"/>
  <c r="V19" i="1"/>
  <c r="W19" i="1"/>
  <c r="X19" i="1"/>
  <c r="Y19" i="1"/>
  <c r="Z19" i="1"/>
  <c r="Z29" i="1" s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L29" i="1" s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X29" i="1" s="1"/>
  <c r="AY19" i="1"/>
  <c r="AZ19" i="1"/>
  <c r="BA19" i="1"/>
  <c r="BB19" i="1"/>
  <c r="BC19" i="1"/>
  <c r="BD19" i="1"/>
  <c r="BE19" i="1"/>
  <c r="BF19" i="1"/>
  <c r="BG19" i="1"/>
  <c r="D20" i="1"/>
  <c r="E20" i="1"/>
  <c r="F20" i="1"/>
  <c r="F30" i="1" s="1"/>
  <c r="G20" i="1"/>
  <c r="H20" i="1"/>
  <c r="I20" i="1"/>
  <c r="J20" i="1"/>
  <c r="K20" i="1"/>
  <c r="L20" i="1"/>
  <c r="M20" i="1"/>
  <c r="N20" i="1"/>
  <c r="O20" i="1"/>
  <c r="P20" i="1"/>
  <c r="Q20" i="1"/>
  <c r="R20" i="1"/>
  <c r="R30" i="1" s="1"/>
  <c r="S20" i="1"/>
  <c r="T20" i="1"/>
  <c r="U20" i="1"/>
  <c r="V20" i="1"/>
  <c r="W20" i="1"/>
  <c r="X20" i="1"/>
  <c r="Y20" i="1"/>
  <c r="Z20" i="1"/>
  <c r="AA20" i="1"/>
  <c r="AB20" i="1"/>
  <c r="AC20" i="1"/>
  <c r="AD20" i="1"/>
  <c r="AD30" i="1" s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P30" i="1" s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B30" i="1" s="1"/>
  <c r="BC20" i="1"/>
  <c r="BD20" i="1"/>
  <c r="BE20" i="1"/>
  <c r="BF20" i="1"/>
  <c r="BG20" i="1"/>
  <c r="D21" i="1"/>
  <c r="E21" i="1"/>
  <c r="F21" i="1"/>
  <c r="G21" i="1"/>
  <c r="H21" i="1"/>
  <c r="I21" i="1"/>
  <c r="J21" i="1"/>
  <c r="J31" i="1" s="1"/>
  <c r="K21" i="1"/>
  <c r="L21" i="1"/>
  <c r="M21" i="1"/>
  <c r="N21" i="1"/>
  <c r="O21" i="1"/>
  <c r="P21" i="1"/>
  <c r="Q21" i="1"/>
  <c r="R21" i="1"/>
  <c r="S21" i="1"/>
  <c r="T21" i="1"/>
  <c r="U21" i="1"/>
  <c r="V21" i="1"/>
  <c r="V31" i="1" s="1"/>
  <c r="W21" i="1"/>
  <c r="X21" i="1"/>
  <c r="Y21" i="1"/>
  <c r="Z21" i="1"/>
  <c r="AA21" i="1"/>
  <c r="AB21" i="1"/>
  <c r="AC21" i="1"/>
  <c r="AD21" i="1"/>
  <c r="AE21" i="1"/>
  <c r="AF21" i="1"/>
  <c r="AG21" i="1"/>
  <c r="AH21" i="1"/>
  <c r="AH31" i="1" s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T31" i="1" s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F31" i="1" s="1"/>
  <c r="BG21" i="1"/>
  <c r="C16" i="1"/>
  <c r="C17" i="1"/>
  <c r="C18" i="1"/>
  <c r="C19" i="1"/>
  <c r="C20" i="1"/>
  <c r="C21" i="1"/>
  <c r="C15" i="1"/>
  <c r="W33" i="1"/>
  <c r="AI33" i="1"/>
  <c r="AU33" i="1"/>
  <c r="BG33" i="1"/>
  <c r="D25" i="1"/>
  <c r="D33" i="1" s="1"/>
  <c r="E25" i="1"/>
  <c r="F25" i="1"/>
  <c r="G25" i="1"/>
  <c r="H25" i="1"/>
  <c r="H33" i="1" s="1"/>
  <c r="I25" i="1"/>
  <c r="K25" i="1"/>
  <c r="K33" i="1" s="1"/>
  <c r="L25" i="1"/>
  <c r="L33" i="1" s="1"/>
  <c r="M25" i="1"/>
  <c r="M33" i="1" s="1"/>
  <c r="N25" i="1"/>
  <c r="O25" i="1"/>
  <c r="O33" i="1" s="1"/>
  <c r="P25" i="1"/>
  <c r="P33" i="1" s="1"/>
  <c r="Q25" i="1"/>
  <c r="Q33" i="1" s="1"/>
  <c r="R25" i="1"/>
  <c r="S25" i="1"/>
  <c r="T25" i="1"/>
  <c r="T33" i="1" s="1"/>
  <c r="U25" i="1"/>
  <c r="W25" i="1"/>
  <c r="X25" i="1"/>
  <c r="Y25" i="1"/>
  <c r="Y33" i="1" s="1"/>
  <c r="Z25" i="1"/>
  <c r="AA25" i="1"/>
  <c r="AA33" i="1" s="1"/>
  <c r="AB25" i="1"/>
  <c r="AB33" i="1" s="1"/>
  <c r="AC25" i="1"/>
  <c r="AC33" i="1" s="1"/>
  <c r="AD25" i="1"/>
  <c r="AE25" i="1"/>
  <c r="AF25" i="1"/>
  <c r="AF33" i="1" s="1"/>
  <c r="AG25" i="1"/>
  <c r="AI25" i="1"/>
  <c r="AJ25" i="1"/>
  <c r="AK25" i="1"/>
  <c r="AK33" i="1" s="1"/>
  <c r="AL25" i="1"/>
  <c r="AM25" i="1"/>
  <c r="AM33" i="1" s="1"/>
  <c r="AN25" i="1"/>
  <c r="AN33" i="1" s="1"/>
  <c r="AO25" i="1"/>
  <c r="AO33" i="1" s="1"/>
  <c r="AP25" i="1"/>
  <c r="AQ25" i="1"/>
  <c r="AR25" i="1"/>
  <c r="AR33" i="1" s="1"/>
  <c r="AS25" i="1"/>
  <c r="AU25" i="1"/>
  <c r="AV25" i="1"/>
  <c r="AW25" i="1"/>
  <c r="AW33" i="1" s="1"/>
  <c r="AX25" i="1"/>
  <c r="AY25" i="1"/>
  <c r="AY33" i="1" s="1"/>
  <c r="AZ25" i="1"/>
  <c r="AZ33" i="1" s="1"/>
  <c r="BA25" i="1"/>
  <c r="BA33" i="1" s="1"/>
  <c r="BB25" i="1"/>
  <c r="BC25" i="1"/>
  <c r="BD25" i="1"/>
  <c r="BD33" i="1" s="1"/>
  <c r="BE25" i="1"/>
  <c r="BG25" i="1"/>
  <c r="D26" i="1"/>
  <c r="E26" i="1"/>
  <c r="E33" i="1" s="1"/>
  <c r="F26" i="1"/>
  <c r="G26" i="1"/>
  <c r="G33" i="1" s="1"/>
  <c r="H26" i="1"/>
  <c r="I26" i="1"/>
  <c r="J26" i="1"/>
  <c r="K26" i="1"/>
  <c r="L26" i="1"/>
  <c r="M26" i="1"/>
  <c r="O26" i="1"/>
  <c r="P26" i="1"/>
  <c r="Q26" i="1"/>
  <c r="R26" i="1"/>
  <c r="R33" i="1" s="1"/>
  <c r="S26" i="1"/>
  <c r="S33" i="1" s="1"/>
  <c r="T26" i="1"/>
  <c r="U26" i="1"/>
  <c r="V26" i="1"/>
  <c r="W26" i="1"/>
  <c r="X26" i="1"/>
  <c r="Y26" i="1"/>
  <c r="AA26" i="1"/>
  <c r="AB26" i="1"/>
  <c r="AC26" i="1"/>
  <c r="AD26" i="1"/>
  <c r="AD33" i="1" s="1"/>
  <c r="AE26" i="1"/>
  <c r="AE33" i="1" s="1"/>
  <c r="AF26" i="1"/>
  <c r="AG26" i="1"/>
  <c r="AH26" i="1"/>
  <c r="AI26" i="1"/>
  <c r="AJ26" i="1"/>
  <c r="AK26" i="1"/>
  <c r="AM26" i="1"/>
  <c r="AN26" i="1"/>
  <c r="AO26" i="1"/>
  <c r="AP26" i="1"/>
  <c r="AP33" i="1" s="1"/>
  <c r="AQ26" i="1"/>
  <c r="AQ33" i="1" s="1"/>
  <c r="AR26" i="1"/>
  <c r="AS26" i="1"/>
  <c r="AT26" i="1"/>
  <c r="AU26" i="1"/>
  <c r="AV26" i="1"/>
  <c r="AW26" i="1"/>
  <c r="AY26" i="1"/>
  <c r="AZ26" i="1"/>
  <c r="BA26" i="1"/>
  <c r="BB26" i="1"/>
  <c r="BB33" i="1" s="1"/>
  <c r="BC26" i="1"/>
  <c r="BC33" i="1" s="1"/>
  <c r="BD26" i="1"/>
  <c r="BE26" i="1"/>
  <c r="BF26" i="1"/>
  <c r="BG26" i="1"/>
  <c r="D27" i="1"/>
  <c r="E27" i="1"/>
  <c r="G27" i="1"/>
  <c r="H27" i="1"/>
  <c r="I27" i="1"/>
  <c r="I33" i="1" s="1"/>
  <c r="J27" i="1"/>
  <c r="K27" i="1"/>
  <c r="L27" i="1"/>
  <c r="M27" i="1"/>
  <c r="N27" i="1"/>
  <c r="O27" i="1"/>
  <c r="P27" i="1"/>
  <c r="Q27" i="1"/>
  <c r="S27" i="1"/>
  <c r="T27" i="1"/>
  <c r="U27" i="1"/>
  <c r="U33" i="1" s="1"/>
  <c r="V27" i="1"/>
  <c r="W27" i="1"/>
  <c r="X27" i="1"/>
  <c r="X33" i="1" s="1"/>
  <c r="Y27" i="1"/>
  <c r="Z27" i="1"/>
  <c r="AA27" i="1"/>
  <c r="AB27" i="1"/>
  <c r="AC27" i="1"/>
  <c r="AE27" i="1"/>
  <c r="AF27" i="1"/>
  <c r="AG27" i="1"/>
  <c r="AG33" i="1" s="1"/>
  <c r="AH27" i="1"/>
  <c r="AI27" i="1"/>
  <c r="AJ27" i="1"/>
  <c r="AJ33" i="1" s="1"/>
  <c r="AK27" i="1"/>
  <c r="AL27" i="1"/>
  <c r="AM27" i="1"/>
  <c r="AN27" i="1"/>
  <c r="AO27" i="1"/>
  <c r="AQ27" i="1"/>
  <c r="AR27" i="1"/>
  <c r="AS27" i="1"/>
  <c r="AS33" i="1" s="1"/>
  <c r="AT27" i="1"/>
  <c r="AU27" i="1"/>
  <c r="AV27" i="1"/>
  <c r="AV33" i="1" s="1"/>
  <c r="AW27" i="1"/>
  <c r="AX27" i="1"/>
  <c r="AY27" i="1"/>
  <c r="AZ27" i="1"/>
  <c r="BA27" i="1"/>
  <c r="BC27" i="1"/>
  <c r="BD27" i="1"/>
  <c r="BE27" i="1"/>
  <c r="BE33" i="1" s="1"/>
  <c r="BF27" i="1"/>
  <c r="BG27" i="1"/>
  <c r="D28" i="1"/>
  <c r="E28" i="1"/>
  <c r="F28" i="1"/>
  <c r="G28" i="1"/>
  <c r="H28" i="1"/>
  <c r="I28" i="1"/>
  <c r="K28" i="1"/>
  <c r="L28" i="1"/>
  <c r="M28" i="1"/>
  <c r="N28" i="1"/>
  <c r="O28" i="1"/>
  <c r="P28" i="1"/>
  <c r="Q28" i="1"/>
  <c r="R28" i="1"/>
  <c r="S28" i="1"/>
  <c r="T28" i="1"/>
  <c r="U28" i="1"/>
  <c r="W28" i="1"/>
  <c r="X28" i="1"/>
  <c r="Y28" i="1"/>
  <c r="Z28" i="1"/>
  <c r="AA28" i="1"/>
  <c r="AB28" i="1"/>
  <c r="AC28" i="1"/>
  <c r="AD28" i="1"/>
  <c r="AE28" i="1"/>
  <c r="AF28" i="1"/>
  <c r="AG28" i="1"/>
  <c r="AI28" i="1"/>
  <c r="AJ28" i="1"/>
  <c r="AK28" i="1"/>
  <c r="AL28" i="1"/>
  <c r="AM28" i="1"/>
  <c r="AN28" i="1"/>
  <c r="AO28" i="1"/>
  <c r="AP28" i="1"/>
  <c r="AQ28" i="1"/>
  <c r="AR28" i="1"/>
  <c r="AS28" i="1"/>
  <c r="AU28" i="1"/>
  <c r="AV28" i="1"/>
  <c r="AW28" i="1"/>
  <c r="AX28" i="1"/>
  <c r="AY28" i="1"/>
  <c r="AZ28" i="1"/>
  <c r="BA28" i="1"/>
  <c r="BB28" i="1"/>
  <c r="BC28" i="1"/>
  <c r="BD28" i="1"/>
  <c r="BE28" i="1"/>
  <c r="BG28" i="1"/>
  <c r="D29" i="1"/>
  <c r="E29" i="1"/>
  <c r="F29" i="1"/>
  <c r="G29" i="1"/>
  <c r="H29" i="1"/>
  <c r="I29" i="1"/>
  <c r="J29" i="1"/>
  <c r="K29" i="1"/>
  <c r="L29" i="1"/>
  <c r="M29" i="1"/>
  <c r="O29" i="1"/>
  <c r="P29" i="1"/>
  <c r="Q29" i="1"/>
  <c r="R29" i="1"/>
  <c r="S29" i="1"/>
  <c r="T29" i="1"/>
  <c r="U29" i="1"/>
  <c r="V29" i="1"/>
  <c r="W29" i="1"/>
  <c r="X29" i="1"/>
  <c r="Y29" i="1"/>
  <c r="AA29" i="1"/>
  <c r="AB29" i="1"/>
  <c r="AC29" i="1"/>
  <c r="AD29" i="1"/>
  <c r="AE29" i="1"/>
  <c r="AF29" i="1"/>
  <c r="AG29" i="1"/>
  <c r="AH29" i="1"/>
  <c r="AI29" i="1"/>
  <c r="AJ29" i="1"/>
  <c r="AK29" i="1"/>
  <c r="AM29" i="1"/>
  <c r="AN29" i="1"/>
  <c r="AO29" i="1"/>
  <c r="AP29" i="1"/>
  <c r="AQ29" i="1"/>
  <c r="AR29" i="1"/>
  <c r="AS29" i="1"/>
  <c r="AT29" i="1"/>
  <c r="AU29" i="1"/>
  <c r="AV29" i="1"/>
  <c r="AW29" i="1"/>
  <c r="AY29" i="1"/>
  <c r="AZ29" i="1"/>
  <c r="BA29" i="1"/>
  <c r="BB29" i="1"/>
  <c r="BC29" i="1"/>
  <c r="BD29" i="1"/>
  <c r="BE29" i="1"/>
  <c r="BF29" i="1"/>
  <c r="BG29" i="1"/>
  <c r="D30" i="1"/>
  <c r="E30" i="1"/>
  <c r="G30" i="1"/>
  <c r="H30" i="1"/>
  <c r="I30" i="1"/>
  <c r="J30" i="1"/>
  <c r="K30" i="1"/>
  <c r="L30" i="1"/>
  <c r="M30" i="1"/>
  <c r="N30" i="1"/>
  <c r="O30" i="1"/>
  <c r="P30" i="1"/>
  <c r="Q30" i="1"/>
  <c r="S30" i="1"/>
  <c r="T30" i="1"/>
  <c r="U30" i="1"/>
  <c r="V30" i="1"/>
  <c r="W30" i="1"/>
  <c r="X30" i="1"/>
  <c r="Y30" i="1"/>
  <c r="Z30" i="1"/>
  <c r="AA30" i="1"/>
  <c r="AB30" i="1"/>
  <c r="AC30" i="1"/>
  <c r="AE30" i="1"/>
  <c r="AF30" i="1"/>
  <c r="AG30" i="1"/>
  <c r="AH30" i="1"/>
  <c r="AI30" i="1"/>
  <c r="AJ30" i="1"/>
  <c r="AK30" i="1"/>
  <c r="AL30" i="1"/>
  <c r="AM30" i="1"/>
  <c r="AN30" i="1"/>
  <c r="AO30" i="1"/>
  <c r="AQ30" i="1"/>
  <c r="AR30" i="1"/>
  <c r="AS30" i="1"/>
  <c r="AT30" i="1"/>
  <c r="AU30" i="1"/>
  <c r="AV30" i="1"/>
  <c r="AW30" i="1"/>
  <c r="AX30" i="1"/>
  <c r="AY30" i="1"/>
  <c r="AZ30" i="1"/>
  <c r="BA30" i="1"/>
  <c r="BC30" i="1"/>
  <c r="BD30" i="1"/>
  <c r="BE30" i="1"/>
  <c r="BF30" i="1"/>
  <c r="BG30" i="1"/>
  <c r="D31" i="1"/>
  <c r="E31" i="1"/>
  <c r="F31" i="1"/>
  <c r="G31" i="1"/>
  <c r="H31" i="1"/>
  <c r="I31" i="1"/>
  <c r="K31" i="1"/>
  <c r="L31" i="1"/>
  <c r="M31" i="1"/>
  <c r="N31" i="1"/>
  <c r="O31" i="1"/>
  <c r="P31" i="1"/>
  <c r="Q31" i="1"/>
  <c r="R31" i="1"/>
  <c r="S31" i="1"/>
  <c r="T31" i="1"/>
  <c r="U31" i="1"/>
  <c r="W31" i="1"/>
  <c r="X31" i="1"/>
  <c r="Y31" i="1"/>
  <c r="Z31" i="1"/>
  <c r="AA31" i="1"/>
  <c r="AB31" i="1"/>
  <c r="AC31" i="1"/>
  <c r="AD31" i="1"/>
  <c r="AE31" i="1"/>
  <c r="AF31" i="1"/>
  <c r="AG31" i="1"/>
  <c r="AI31" i="1"/>
  <c r="AJ31" i="1"/>
  <c r="AK31" i="1"/>
  <c r="AL31" i="1"/>
  <c r="AM31" i="1"/>
  <c r="AN31" i="1"/>
  <c r="AO31" i="1"/>
  <c r="AP31" i="1"/>
  <c r="AQ31" i="1"/>
  <c r="AR31" i="1"/>
  <c r="AS31" i="1"/>
  <c r="AU31" i="1"/>
  <c r="AV31" i="1"/>
  <c r="AW31" i="1"/>
  <c r="AX31" i="1"/>
  <c r="AY31" i="1"/>
  <c r="AZ31" i="1"/>
  <c r="BA31" i="1"/>
  <c r="BB31" i="1"/>
  <c r="BC31" i="1"/>
  <c r="BD31" i="1"/>
  <c r="BE31" i="1"/>
  <c r="BG31" i="1"/>
  <c r="C26" i="1"/>
  <c r="C33" i="1" s="1"/>
  <c r="C27" i="1"/>
  <c r="C28" i="1"/>
  <c r="C29" i="1"/>
  <c r="C30" i="1"/>
  <c r="C31" i="1"/>
  <c r="C25" i="1"/>
  <c r="AH33" i="1" l="1"/>
  <c r="BF33" i="1"/>
  <c r="J33" i="1"/>
  <c r="N33" i="1"/>
  <c r="Z33" i="1"/>
  <c r="AL33" i="1"/>
  <c r="V33" i="1"/>
  <c r="AX33" i="1"/>
  <c r="AT33" i="1"/>
  <c r="F33" i="1"/>
</calcChain>
</file>

<file path=xl/sharedStrings.xml><?xml version="1.0" encoding="utf-8"?>
<sst xmlns="http://schemas.openxmlformats.org/spreadsheetml/2006/main" count="197" uniqueCount="67">
  <si>
    <t>all_gene</t>
  </si>
  <si>
    <t>mmol/gDW_francesca</t>
  </si>
  <si>
    <t>mmol/gDW_carl</t>
  </si>
  <si>
    <t>prot.1</t>
  </si>
  <si>
    <t>prot.2</t>
  </si>
  <si>
    <t>prot.3</t>
  </si>
  <si>
    <t>prot.4</t>
  </si>
  <si>
    <t>prot.5</t>
  </si>
  <si>
    <t>prot.6</t>
  </si>
  <si>
    <t>prot.7</t>
  </si>
  <si>
    <t>prot.8</t>
  </si>
  <si>
    <t>prot.9</t>
  </si>
  <si>
    <t>prot.10</t>
  </si>
  <si>
    <t>prot.11</t>
  </si>
  <si>
    <t>prot.12</t>
  </si>
  <si>
    <t>prot.13</t>
  </si>
  <si>
    <t>prot.14</t>
  </si>
  <si>
    <t>prot.15</t>
  </si>
  <si>
    <t>prot.16</t>
  </si>
  <si>
    <t>prot.17</t>
  </si>
  <si>
    <t>prot.18</t>
  </si>
  <si>
    <t>prot.19</t>
  </si>
  <si>
    <t>prot.20</t>
  </si>
  <si>
    <t>prot.21</t>
  </si>
  <si>
    <t>prot.22</t>
  </si>
  <si>
    <t>prot.23</t>
  </si>
  <si>
    <t>prot.24</t>
  </si>
  <si>
    <t>prot.25</t>
  </si>
  <si>
    <t>prot.26</t>
  </si>
  <si>
    <t>prot.27</t>
  </si>
  <si>
    <t>prot.28</t>
  </si>
  <si>
    <t>prot.29</t>
  </si>
  <si>
    <t>prot.30</t>
  </si>
  <si>
    <t>prot.31</t>
  </si>
  <si>
    <t>prot.32</t>
  </si>
  <si>
    <t>prot.33</t>
  </si>
  <si>
    <t>prot.34</t>
  </si>
  <si>
    <t>prot.35</t>
  </si>
  <si>
    <t>prot.36</t>
  </si>
  <si>
    <t>prot.37</t>
  </si>
  <si>
    <t>prot.38</t>
  </si>
  <si>
    <t>prot.39</t>
  </si>
  <si>
    <t>prot.40</t>
  </si>
  <si>
    <t>prot.41</t>
  </si>
  <si>
    <t>prot.42</t>
  </si>
  <si>
    <t>D=0.027_M</t>
  </si>
  <si>
    <t>D=0.044_M</t>
  </si>
  <si>
    <t>D=0.102_M</t>
  </si>
  <si>
    <t>D=0.152_M</t>
  </si>
  <si>
    <t>D=0.214_M</t>
  </si>
  <si>
    <t>D=0.254_M</t>
  </si>
  <si>
    <t>D=0.284_M</t>
  </si>
  <si>
    <t>D=0.334_M</t>
  </si>
  <si>
    <t>D=0.379_M</t>
  </si>
  <si>
    <t>Min_ave_aerobic(mmol/gDW)</t>
  </si>
  <si>
    <t>Rich_ave_aerobic(mmol/gDW)</t>
  </si>
  <si>
    <t>Min_ave_anaerobic(mmol/gDW)</t>
  </si>
  <si>
    <t>Rich_ave_anaerobic(mmol/gDW)</t>
  </si>
  <si>
    <t>YHR094C</t>
  </si>
  <si>
    <t>YMR011W</t>
  </si>
  <si>
    <t>YDR345C</t>
  </si>
  <si>
    <t>YHR096C</t>
  </si>
  <si>
    <t>YDR343C</t>
  </si>
  <si>
    <t>YDR342C</t>
  </si>
  <si>
    <t>YHR092C</t>
  </si>
  <si>
    <t>molecular/cell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</si>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</sst>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Sheet1!$A$33</c:f>
              <c:strCache>
                <c:ptCount val="1"/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Sheet1!$B$33:$BG$33</c:f>
              <c:numCache>
                <c:formatCode>General</c:formatCode>
                <c:ptCount val="58"/>
                <c:pt idx="0">
                  <c:v>0</c:v>
                </c:pt>
                <c:pt idx="1">
                  <c:v>5.296512898860291</c:v>
                </c:pt>
                <c:pt idx="2">
                  <c:v>0.89940475999523439</c:v>
                </c:pt>
                <c:pt idx="3">
                  <c:v>1.0278727113101764</c:v>
                </c:pt>
                <c:pt idx="4">
                  <c:v>1.0299693657674367</c:v>
                </c:pt>
                <c:pt idx="5">
                  <c:v>0.88299490824718518</c:v>
                </c:pt>
                <c:pt idx="6">
                  <c:v>2.2760990427504577</c:v>
                </c:pt>
                <c:pt idx="7">
                  <c:v>2.3027766337843723</c:v>
                </c:pt>
                <c:pt idx="8">
                  <c:v>2.1339437804031034</c:v>
                </c:pt>
                <c:pt idx="9">
                  <c:v>0.6893071574976668</c:v>
                </c:pt>
                <c:pt idx="10">
                  <c:v>0.66695080483979996</c:v>
                </c:pt>
                <c:pt idx="11">
                  <c:v>0.47070257225200585</c:v>
                </c:pt>
                <c:pt idx="12">
                  <c:v>0.90192184766723704</c:v>
                </c:pt>
                <c:pt idx="13">
                  <c:v>0.72272984791515527</c:v>
                </c:pt>
                <c:pt idx="14">
                  <c:v>0.86773371087661211</c:v>
                </c:pt>
                <c:pt idx="15">
                  <c:v>1.1600984848162623</c:v>
                </c:pt>
                <c:pt idx="16">
                  <c:v>0.93141604671355505</c:v>
                </c:pt>
                <c:pt idx="17">
                  <c:v>0.90340111029673575</c:v>
                </c:pt>
                <c:pt idx="18">
                  <c:v>2.2893342586257566</c:v>
                </c:pt>
                <c:pt idx="19">
                  <c:v>2.5167862471396711</c:v>
                </c:pt>
                <c:pt idx="20">
                  <c:v>2.1248031248642483</c:v>
                </c:pt>
                <c:pt idx="21">
                  <c:v>2.5754344452091957</c:v>
                </c:pt>
                <c:pt idx="22">
                  <c:v>2.2858483167139889</c:v>
                </c:pt>
                <c:pt idx="23">
                  <c:v>3.1016400546475866</c:v>
                </c:pt>
                <c:pt idx="24">
                  <c:v>3.9059365739143002</c:v>
                </c:pt>
                <c:pt idx="25">
                  <c:v>4.329993853674976</c:v>
                </c:pt>
                <c:pt idx="26">
                  <c:v>3.8751535372506192</c:v>
                </c:pt>
                <c:pt idx="27">
                  <c:v>2.5589709304821864</c:v>
                </c:pt>
                <c:pt idx="28">
                  <c:v>1.471866057620334</c:v>
                </c:pt>
                <c:pt idx="29">
                  <c:v>1.4986410967463444</c:v>
                </c:pt>
                <c:pt idx="30">
                  <c:v>0.79330927691501707</c:v>
                </c:pt>
                <c:pt idx="31">
                  <c:v>1.4089486168208001</c:v>
                </c:pt>
                <c:pt idx="32">
                  <c:v>1.4145230556220139</c:v>
                </c:pt>
                <c:pt idx="33">
                  <c:v>4.3337703754103352</c:v>
                </c:pt>
                <c:pt idx="34">
                  <c:v>4.9714454944771393</c:v>
                </c:pt>
                <c:pt idx="35">
                  <c:v>4.8406883054383565</c:v>
                </c:pt>
                <c:pt idx="36">
                  <c:v>1.3758363496149659</c:v>
                </c:pt>
                <c:pt idx="37">
                  <c:v>1.5732344721802876</c:v>
                </c:pt>
                <c:pt idx="38">
                  <c:v>2.0462829278647221</c:v>
                </c:pt>
                <c:pt idx="39">
                  <c:v>1.5768403831314102</c:v>
                </c:pt>
                <c:pt idx="40">
                  <c:v>2.3105700807656917</c:v>
                </c:pt>
                <c:pt idx="41">
                  <c:v>1.5067509105961365</c:v>
                </c:pt>
                <c:pt idx="42">
                  <c:v>1.4897379999697071</c:v>
                </c:pt>
                <c:pt idx="43">
                  <c:v>1.7937356165898906</c:v>
                </c:pt>
                <c:pt idx="44">
                  <c:v>1.3254454032294181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1.0232296871222231</c:v>
                </c:pt>
                <c:pt idx="55">
                  <c:v>1.0333216786502921</c:v>
                </c:pt>
                <c:pt idx="56">
                  <c:v>2.4664556269819577</c:v>
                </c:pt>
                <c:pt idx="57">
                  <c:v>2.3203115781625523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16-1A4F-B3FD-22562EF98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5929360"/>
        <c:axId val="2055931008"/>
      </c:scatterChart>
      <c:valAx>
        <c:axId val="2055929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2055931008"/>
        <c:crosses val="autoZero"/>
        <c:crossBetween val="midCat"/>
      </c:valAx>
      <c:valAx>
        <c:axId val="205593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2055929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25400</xdr:colOff>
      <xdr:row>18</xdr:row>
      <xdr:rowOff>133350</xdr:rowOff>
    </xdr:from>
    <xdr:to>
      <xdr:col>66</xdr:col>
      <xdr:colOff>558800</xdr:colOff>
      <xdr:row>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8F6240-6530-6F46-93C0-20153C76F7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33"/>
  <sheetViews>
    <sheetView tabSelected="1" topLeftCell="A7" workbookViewId="0">
      <selection activeCell="A31" sqref="A26:XFD31"/>
    </sheetView>
  </sheetViews>
  <sheetFormatPr baseColWidth="10" defaultColWidth="8.83203125" defaultRowHeight="15" x14ac:dyDescent="0.2"/>
  <cols>
    <col min="3" max="3" width="23.1640625" customWidth="1"/>
    <col min="4" max="4" width="16.5" customWidth="1"/>
    <col min="55" max="55" width="15.6640625" customWidth="1"/>
    <col min="56" max="56" width="20" customWidth="1"/>
    <col min="57" max="57" width="19" customWidth="1"/>
    <col min="58" max="58" width="17.33203125" customWidth="1"/>
    <col min="59" max="59" width="18.6640625" customWidth="1"/>
  </cols>
  <sheetData>
    <row r="1" spans="1:5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</row>
    <row r="2" spans="1:59" x14ac:dyDescent="0.2">
      <c r="A2" s="1">
        <v>349</v>
      </c>
      <c r="B2" t="s">
        <v>58</v>
      </c>
      <c r="C2">
        <v>4.476577745573031E-6</v>
      </c>
      <c r="D2">
        <v>4.5450511886309479E-7</v>
      </c>
      <c r="BD2">
        <v>9.8981316979523313E-7</v>
      </c>
      <c r="BE2">
        <v>7.4228838512723872E-7</v>
      </c>
      <c r="BF2">
        <v>4.3397135094716261E-7</v>
      </c>
      <c r="BG2">
        <v>2.5695249464036408E-7</v>
      </c>
    </row>
    <row r="3" spans="1:59" x14ac:dyDescent="0.2">
      <c r="A3" s="1">
        <v>739</v>
      </c>
      <c r="B3" t="s">
        <v>59</v>
      </c>
      <c r="C3">
        <v>5.8954486529802573E-7</v>
      </c>
      <c r="D3">
        <v>2.4710445957913322E-7</v>
      </c>
      <c r="E3">
        <v>4.3276342859999998E-7</v>
      </c>
      <c r="F3">
        <v>4.4045034939999998E-7</v>
      </c>
      <c r="G3">
        <v>4.7416226940000012E-7</v>
      </c>
      <c r="H3">
        <v>1.0608224470000001E-6</v>
      </c>
      <c r="I3">
        <v>1.005855408E-6</v>
      </c>
      <c r="J3">
        <v>9.3223107890000016E-7</v>
      </c>
      <c r="K3">
        <v>2.2580678200000001E-7</v>
      </c>
      <c r="L3">
        <v>2.3540033430000001E-7</v>
      </c>
      <c r="M3">
        <v>1.4785459600000001E-7</v>
      </c>
      <c r="N3">
        <v>2.3488574170000001E-7</v>
      </c>
      <c r="O3">
        <v>1.8326660040000001E-7</v>
      </c>
      <c r="P3">
        <v>2.035534331E-7</v>
      </c>
      <c r="Q3">
        <v>3.1665220720000002E-7</v>
      </c>
      <c r="R3">
        <v>3.0459936710000002E-7</v>
      </c>
      <c r="S3">
        <v>3.0887140069999997E-7</v>
      </c>
      <c r="T3">
        <v>6.3034575910000007E-7</v>
      </c>
      <c r="U3">
        <v>5.9212582269999997E-7</v>
      </c>
      <c r="V3">
        <v>6.373034188000001E-7</v>
      </c>
      <c r="W3">
        <v>6.216690567000001E-7</v>
      </c>
      <c r="X3">
        <v>6.5781721170000004E-7</v>
      </c>
      <c r="Y3">
        <v>7.7145614730000001E-7</v>
      </c>
      <c r="Z3">
        <v>1.3860024820000001E-6</v>
      </c>
      <c r="AA3">
        <v>1.543738884E-6</v>
      </c>
      <c r="AB3">
        <v>1.3990053390000001E-6</v>
      </c>
      <c r="AC3">
        <v>7.9495963740000011E-7</v>
      </c>
      <c r="AD3">
        <v>4.0523372739999998E-7</v>
      </c>
      <c r="AE3">
        <v>4.5511167810000002E-7</v>
      </c>
      <c r="AF3">
        <v>1.038624921E-7</v>
      </c>
      <c r="AG3">
        <v>2.4321818670000001E-7</v>
      </c>
      <c r="AH3">
        <v>2.7075042559999999E-7</v>
      </c>
      <c r="AI3">
        <v>5.736664553000001E-7</v>
      </c>
      <c r="AJ3">
        <v>7.3536024799999999E-7</v>
      </c>
      <c r="AK3">
        <v>6.6499399400000012E-7</v>
      </c>
      <c r="AL3">
        <v>2.8752645610000001E-7</v>
      </c>
      <c r="AM3">
        <v>2.8327725890000002E-7</v>
      </c>
      <c r="AN3">
        <v>3.3453202389999998E-7</v>
      </c>
      <c r="AO3">
        <v>4.0727738159999998E-7</v>
      </c>
      <c r="AP3">
        <v>6.8830596170000006E-7</v>
      </c>
      <c r="AQ3">
        <v>4.2080498149999997E-7</v>
      </c>
      <c r="AR3">
        <v>3.7839319560000011E-7</v>
      </c>
      <c r="AS3">
        <v>4.3640922250000001E-7</v>
      </c>
      <c r="AT3">
        <v>3.609290115E-7</v>
      </c>
      <c r="BD3">
        <v>6.7040912465660155E-7</v>
      </c>
      <c r="BE3">
        <v>1.1143345885080171E-6</v>
      </c>
      <c r="BF3">
        <v>1.0469258616134259E-6</v>
      </c>
      <c r="BG3">
        <v>1.3142097733473401E-6</v>
      </c>
    </row>
    <row r="4" spans="1:59" x14ac:dyDescent="0.2">
      <c r="A4" s="1">
        <v>1295</v>
      </c>
      <c r="B4" t="s">
        <v>60</v>
      </c>
      <c r="C4">
        <v>9.5191390203775562E-6</v>
      </c>
      <c r="D4">
        <v>2.606217389121916E-6</v>
      </c>
      <c r="BD4">
        <v>3.7462361069324331E-6</v>
      </c>
      <c r="BE4">
        <v>2.8054794109233308E-6</v>
      </c>
      <c r="BF4">
        <v>4.8961580985021144E-6</v>
      </c>
      <c r="BG4">
        <v>3.4152511239901019E-6</v>
      </c>
    </row>
    <row r="5" spans="1:59" x14ac:dyDescent="0.2">
      <c r="A5" s="1">
        <v>2258</v>
      </c>
      <c r="B5" t="s">
        <v>61</v>
      </c>
      <c r="C5">
        <v>1.5686487993651411E-6</v>
      </c>
      <c r="D5">
        <v>2.7855729796182371E-8</v>
      </c>
      <c r="BD5">
        <v>1.3496243744489711E-7</v>
      </c>
      <c r="BE5">
        <v>1.3073807595928029E-7</v>
      </c>
      <c r="BF5">
        <v>3.5452952359919557E-8</v>
      </c>
      <c r="BG5">
        <v>3.689547219562916E-8</v>
      </c>
    </row>
    <row r="6" spans="1:59" x14ac:dyDescent="0.2">
      <c r="A6" s="1">
        <v>2557</v>
      </c>
      <c r="B6" t="s">
        <v>62</v>
      </c>
      <c r="D6">
        <v>3.3136192478413309E-8</v>
      </c>
      <c r="E6">
        <v>6.0213667210000004E-6</v>
      </c>
      <c r="F6">
        <v>6.0268449330000007E-6</v>
      </c>
      <c r="G6">
        <v>5.0702636080000014E-6</v>
      </c>
      <c r="H6">
        <v>1.32310634E-5</v>
      </c>
      <c r="I6">
        <v>1.3453542079999999E-5</v>
      </c>
      <c r="J6">
        <v>1.246704564E-5</v>
      </c>
      <c r="K6">
        <v>4.1024315870000002E-6</v>
      </c>
      <c r="L6">
        <v>3.9524599429999999E-6</v>
      </c>
      <c r="M6">
        <v>2.8077406149999999E-6</v>
      </c>
      <c r="N6">
        <v>5.4283845499999996E-6</v>
      </c>
      <c r="O6">
        <v>4.3548366589999986E-6</v>
      </c>
      <c r="P6">
        <v>5.2450456430000011E-6</v>
      </c>
      <c r="Q6">
        <v>6.9677386760000003E-6</v>
      </c>
      <c r="R6">
        <v>5.5438683690000003E-6</v>
      </c>
      <c r="S6">
        <v>5.3636873500000009E-6</v>
      </c>
      <c r="T6">
        <v>1.374464552E-5</v>
      </c>
      <c r="U6">
        <v>1.521106247E-5</v>
      </c>
      <c r="V6">
        <v>1.270457808E-5</v>
      </c>
      <c r="W6">
        <v>1.5549777969999998E-5</v>
      </c>
      <c r="X6">
        <v>1.3695285440000001E-5</v>
      </c>
      <c r="Y6">
        <v>1.8704095999999998E-5</v>
      </c>
      <c r="Z6">
        <v>2.3139819370000001E-5</v>
      </c>
      <c r="AA6">
        <v>2.5644787059999999E-5</v>
      </c>
      <c r="AB6">
        <v>2.2933526309999999E-5</v>
      </c>
      <c r="AC6">
        <v>1.52731111E-5</v>
      </c>
      <c r="AD6">
        <v>8.8367813530000011E-6</v>
      </c>
      <c r="AE6">
        <v>8.9550269310000002E-6</v>
      </c>
      <c r="AF6">
        <v>4.8774170629999998E-6</v>
      </c>
      <c r="AG6">
        <v>8.6037310970000008E-6</v>
      </c>
      <c r="AH6">
        <v>8.6112013960000011E-6</v>
      </c>
      <c r="AI6">
        <v>2.6638572700000001E-5</v>
      </c>
      <c r="AJ6">
        <v>3.048091381E-5</v>
      </c>
      <c r="AK6">
        <v>2.9730240739999999E-5</v>
      </c>
      <c r="AL6">
        <v>8.35150712E-6</v>
      </c>
      <c r="AM6">
        <v>9.5952416740000011E-6</v>
      </c>
      <c r="AN6">
        <v>1.2514312189999999E-5</v>
      </c>
      <c r="AO6">
        <v>9.4938834780000003E-6</v>
      </c>
      <c r="AP6">
        <v>1.3820027470000001E-5</v>
      </c>
      <c r="AQ6">
        <v>9.0402560750000005E-6</v>
      </c>
      <c r="AR6">
        <v>8.9758418519999995E-6</v>
      </c>
      <c r="AS6">
        <v>1.0826661579999999E-5</v>
      </c>
      <c r="AT6">
        <v>7.9616940570000003E-6</v>
      </c>
    </row>
    <row r="7" spans="1:59" x14ac:dyDescent="0.2">
      <c r="A7" s="1">
        <v>3387</v>
      </c>
      <c r="B7" t="s">
        <v>63</v>
      </c>
      <c r="C7">
        <v>1.3483734980710131E-5</v>
      </c>
      <c r="D7">
        <v>4.1143590980346498E-7</v>
      </c>
      <c r="BD7">
        <v>4.7850557006834332E-7</v>
      </c>
      <c r="BE7">
        <v>1.1686351161363869E-6</v>
      </c>
      <c r="BF7">
        <v>8.3265958279510455E-6</v>
      </c>
      <c r="BG7">
        <v>8.8841595504377284E-6</v>
      </c>
    </row>
    <row r="8" spans="1:59" x14ac:dyDescent="0.2">
      <c r="A8" s="1">
        <v>3855</v>
      </c>
      <c r="B8" t="s">
        <v>64</v>
      </c>
      <c r="C8">
        <v>3.6197640053600299E-6</v>
      </c>
      <c r="D8">
        <v>1.8672104110839539E-6</v>
      </c>
      <c r="BD8">
        <v>4.0504966153777098E-7</v>
      </c>
      <c r="BE8">
        <v>5.2686926121118223E-7</v>
      </c>
      <c r="BF8">
        <v>7.4805248900087552E-7</v>
      </c>
      <c r="BG8">
        <v>6.6203299183853562E-7</v>
      </c>
    </row>
    <row r="13" spans="1:59" x14ac:dyDescent="0.2">
      <c r="C13" s="2" t="s">
        <v>65</v>
      </c>
    </row>
    <row r="14" spans="1:59" x14ac:dyDescent="0.2">
      <c r="B14" s="1" t="s">
        <v>0</v>
      </c>
      <c r="C14" s="1" t="s">
        <v>1</v>
      </c>
      <c r="D14" s="1" t="s">
        <v>2</v>
      </c>
      <c r="E14" s="1" t="s">
        <v>3</v>
      </c>
      <c r="F14" s="1" t="s">
        <v>4</v>
      </c>
      <c r="G14" s="1" t="s">
        <v>5</v>
      </c>
      <c r="H14" s="1" t="s">
        <v>6</v>
      </c>
      <c r="I14" s="1" t="s">
        <v>7</v>
      </c>
      <c r="J14" s="1" t="s">
        <v>8</v>
      </c>
      <c r="K14" s="1" t="s">
        <v>9</v>
      </c>
      <c r="L14" s="1" t="s">
        <v>10</v>
      </c>
      <c r="M14" s="1" t="s">
        <v>11</v>
      </c>
      <c r="N14" s="1" t="s">
        <v>12</v>
      </c>
      <c r="O14" s="1" t="s">
        <v>13</v>
      </c>
      <c r="P14" s="1" t="s">
        <v>14</v>
      </c>
      <c r="Q14" s="1" t="s">
        <v>15</v>
      </c>
      <c r="R14" s="1" t="s">
        <v>16</v>
      </c>
      <c r="S14" s="1" t="s">
        <v>17</v>
      </c>
      <c r="T14" s="1" t="s">
        <v>18</v>
      </c>
      <c r="U14" s="1" t="s">
        <v>19</v>
      </c>
      <c r="V14" s="1" t="s">
        <v>20</v>
      </c>
      <c r="W14" s="1" t="s">
        <v>21</v>
      </c>
      <c r="X14" s="1" t="s">
        <v>22</v>
      </c>
      <c r="Y14" s="1" t="s">
        <v>23</v>
      </c>
      <c r="Z14" s="1" t="s">
        <v>24</v>
      </c>
      <c r="AA14" s="1" t="s">
        <v>25</v>
      </c>
      <c r="AB14" s="1" t="s">
        <v>26</v>
      </c>
      <c r="AC14" s="1" t="s">
        <v>27</v>
      </c>
      <c r="AD14" s="1" t="s">
        <v>28</v>
      </c>
      <c r="AE14" s="1" t="s">
        <v>29</v>
      </c>
      <c r="AF14" s="1" t="s">
        <v>30</v>
      </c>
      <c r="AG14" s="1" t="s">
        <v>31</v>
      </c>
      <c r="AH14" s="1" t="s">
        <v>32</v>
      </c>
      <c r="AI14" s="1" t="s">
        <v>33</v>
      </c>
      <c r="AJ14" s="1" t="s">
        <v>34</v>
      </c>
      <c r="AK14" s="1" t="s">
        <v>35</v>
      </c>
      <c r="AL14" s="1" t="s">
        <v>36</v>
      </c>
      <c r="AM14" s="1" t="s">
        <v>37</v>
      </c>
      <c r="AN14" s="1" t="s">
        <v>38</v>
      </c>
      <c r="AO14" s="1" t="s">
        <v>39</v>
      </c>
      <c r="AP14" s="1" t="s">
        <v>40</v>
      </c>
      <c r="AQ14" s="1" t="s">
        <v>41</v>
      </c>
      <c r="AR14" s="1" t="s">
        <v>42</v>
      </c>
      <c r="AS14" s="1" t="s">
        <v>43</v>
      </c>
      <c r="AT14" s="1" t="s">
        <v>44</v>
      </c>
      <c r="AU14" s="1" t="s">
        <v>45</v>
      </c>
      <c r="AV14" s="1" t="s">
        <v>46</v>
      </c>
      <c r="AW14" s="1" t="s">
        <v>47</v>
      </c>
      <c r="AX14" s="1" t="s">
        <v>48</v>
      </c>
      <c r="AY14" s="1" t="s">
        <v>49</v>
      </c>
      <c r="AZ14" s="1" t="s">
        <v>50</v>
      </c>
      <c r="BA14" s="1" t="s">
        <v>51</v>
      </c>
      <c r="BB14" s="1" t="s">
        <v>52</v>
      </c>
      <c r="BC14" s="1" t="s">
        <v>53</v>
      </c>
      <c r="BD14" s="1" t="s">
        <v>54</v>
      </c>
      <c r="BE14" s="1" t="s">
        <v>55</v>
      </c>
      <c r="BF14" s="1" t="s">
        <v>56</v>
      </c>
      <c r="BG14" s="1" t="s">
        <v>57</v>
      </c>
    </row>
    <row r="15" spans="1:59" x14ac:dyDescent="0.2">
      <c r="A15" s="1">
        <v>349</v>
      </c>
      <c r="B15" t="s">
        <v>58</v>
      </c>
      <c r="C15">
        <f>C2*7829800000</f>
        <v>35050.70843228772</v>
      </c>
      <c r="D15">
        <f t="shared" ref="D15:BG19" si="0">D2*7829800000</f>
        <v>3558.6841796742597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f t="shared" si="0"/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  <c r="AZ15">
        <f t="shared" si="0"/>
        <v>0</v>
      </c>
      <c r="BA15">
        <f t="shared" si="0"/>
        <v>0</v>
      </c>
      <c r="BB15">
        <f t="shared" si="0"/>
        <v>0</v>
      </c>
      <c r="BC15">
        <f t="shared" si="0"/>
        <v>0</v>
      </c>
      <c r="BD15">
        <f t="shared" si="0"/>
        <v>7750.0391568627165</v>
      </c>
      <c r="BE15">
        <f t="shared" si="0"/>
        <v>5811.9695978692534</v>
      </c>
      <c r="BF15">
        <f t="shared" si="0"/>
        <v>3397.9088836460937</v>
      </c>
      <c r="BG15">
        <f t="shared" si="0"/>
        <v>2011.8866425351227</v>
      </c>
    </row>
    <row r="16" spans="1:59" x14ac:dyDescent="0.2">
      <c r="A16" s="1">
        <v>739</v>
      </c>
      <c r="B16" t="s">
        <v>59</v>
      </c>
      <c r="C16">
        <f t="shared" ref="C16:R21" si="1">C3*7829800000</f>
        <v>4616.0183863104821</v>
      </c>
      <c r="D16">
        <f t="shared" si="1"/>
        <v>1934.7784976126973</v>
      </c>
      <c r="E16">
        <f t="shared" si="1"/>
        <v>3388.4510932522799</v>
      </c>
      <c r="F16">
        <f t="shared" si="1"/>
        <v>3448.6381457321199</v>
      </c>
      <c r="G16">
        <f t="shared" si="1"/>
        <v>3712.5957369481207</v>
      </c>
      <c r="H16">
        <f t="shared" si="1"/>
        <v>8306.0275955205998</v>
      </c>
      <c r="I16">
        <f t="shared" si="1"/>
        <v>7875.6466735583999</v>
      </c>
      <c r="J16">
        <f t="shared" si="1"/>
        <v>7299.182901571221</v>
      </c>
      <c r="K16">
        <f t="shared" si="1"/>
        <v>1768.0219417036001</v>
      </c>
      <c r="L16">
        <f t="shared" si="1"/>
        <v>1843.13753750214</v>
      </c>
      <c r="M16">
        <f t="shared" si="1"/>
        <v>1157.6719157608002</v>
      </c>
      <c r="N16">
        <f t="shared" si="1"/>
        <v>1839.10838036266</v>
      </c>
      <c r="O16">
        <f t="shared" si="1"/>
        <v>1434.9408278119201</v>
      </c>
      <c r="P16">
        <f t="shared" si="1"/>
        <v>1593.7826704863801</v>
      </c>
      <c r="Q16">
        <f t="shared" si="1"/>
        <v>2479.3234519345601</v>
      </c>
      <c r="R16">
        <f t="shared" si="1"/>
        <v>2384.9521245195801</v>
      </c>
      <c r="S16">
        <f t="shared" si="0"/>
        <v>2418.40129320086</v>
      </c>
      <c r="T16">
        <f t="shared" si="0"/>
        <v>4935.4812246011807</v>
      </c>
      <c r="U16">
        <f t="shared" si="0"/>
        <v>4636.2267665764593</v>
      </c>
      <c r="V16">
        <f t="shared" si="0"/>
        <v>4989.9583085202412</v>
      </c>
      <c r="W16">
        <f t="shared" si="0"/>
        <v>4867.5443801496604</v>
      </c>
      <c r="X16">
        <f t="shared" si="0"/>
        <v>5150.5772041686605</v>
      </c>
      <c r="Y16">
        <f t="shared" si="0"/>
        <v>6040.3473421295403</v>
      </c>
      <c r="Z16">
        <f t="shared" si="0"/>
        <v>10852.122233563601</v>
      </c>
      <c r="AA16">
        <f t="shared" si="0"/>
        <v>12087.166713943199</v>
      </c>
      <c r="AB16">
        <f t="shared" si="0"/>
        <v>10953.932003302201</v>
      </c>
      <c r="AC16">
        <f t="shared" si="0"/>
        <v>6224.3749689145207</v>
      </c>
      <c r="AD16">
        <f t="shared" si="0"/>
        <v>3172.89903879652</v>
      </c>
      <c r="AE16">
        <f t="shared" si="0"/>
        <v>3563.4334171873802</v>
      </c>
      <c r="AF16">
        <f t="shared" si="0"/>
        <v>813.22254064458002</v>
      </c>
      <c r="AG16">
        <f t="shared" si="0"/>
        <v>1904.34975822366</v>
      </c>
      <c r="AH16">
        <f t="shared" si="0"/>
        <v>2119.9216823628799</v>
      </c>
      <c r="AI16">
        <f t="shared" si="0"/>
        <v>4491.6936117079404</v>
      </c>
      <c r="AJ16">
        <f t="shared" si="0"/>
        <v>5757.7236697904</v>
      </c>
      <c r="AK16">
        <f t="shared" si="0"/>
        <v>5206.7699742212008</v>
      </c>
      <c r="AL16">
        <f t="shared" si="0"/>
        <v>2251.27464597178</v>
      </c>
      <c r="AM16">
        <f t="shared" si="0"/>
        <v>2218.00428173522</v>
      </c>
      <c r="AN16">
        <f t="shared" si="0"/>
        <v>2619.31884073222</v>
      </c>
      <c r="AO16">
        <f t="shared" si="0"/>
        <v>3188.9004424516797</v>
      </c>
      <c r="AP16">
        <f t="shared" si="0"/>
        <v>5389.2980189186601</v>
      </c>
      <c r="AQ16">
        <f t="shared" si="0"/>
        <v>3294.8188441487</v>
      </c>
      <c r="AR16">
        <f t="shared" si="0"/>
        <v>2962.7430429088809</v>
      </c>
      <c r="AS16">
        <f t="shared" si="0"/>
        <v>3416.9969303305002</v>
      </c>
      <c r="AT16">
        <f t="shared" si="0"/>
        <v>2826.0019742426998</v>
      </c>
      <c r="AU16">
        <f t="shared" si="0"/>
        <v>0</v>
      </c>
      <c r="AV16">
        <f t="shared" si="0"/>
        <v>0</v>
      </c>
      <c r="AW16">
        <f t="shared" si="0"/>
        <v>0</v>
      </c>
      <c r="AX16">
        <f t="shared" si="0"/>
        <v>0</v>
      </c>
      <c r="AY16">
        <f t="shared" si="0"/>
        <v>0</v>
      </c>
      <c r="AZ16">
        <f t="shared" si="0"/>
        <v>0</v>
      </c>
      <c r="BA16">
        <f t="shared" si="0"/>
        <v>0</v>
      </c>
      <c r="BB16">
        <f t="shared" si="0"/>
        <v>0</v>
      </c>
      <c r="BC16">
        <f t="shared" si="0"/>
        <v>0</v>
      </c>
      <c r="BD16">
        <f t="shared" si="0"/>
        <v>5249.1693642362588</v>
      </c>
      <c r="BE16">
        <f t="shared" si="0"/>
        <v>8725.0169611000729</v>
      </c>
      <c r="BF16">
        <f t="shared" si="0"/>
        <v>8197.2201112608018</v>
      </c>
      <c r="BG16">
        <f t="shared" si="0"/>
        <v>10289.999683355003</v>
      </c>
    </row>
    <row r="17" spans="1:59" x14ac:dyDescent="0.2">
      <c r="A17" s="1">
        <v>1295</v>
      </c>
      <c r="B17" t="s">
        <v>60</v>
      </c>
      <c r="C17">
        <f t="shared" si="1"/>
        <v>74532.954701752184</v>
      </c>
      <c r="D17">
        <f t="shared" si="0"/>
        <v>20406.160913346779</v>
      </c>
      <c r="E17">
        <f t="shared" si="0"/>
        <v>0</v>
      </c>
      <c r="F17">
        <f t="shared" si="0"/>
        <v>0</v>
      </c>
      <c r="G17">
        <f t="shared" si="0"/>
        <v>0</v>
      </c>
      <c r="H17">
        <f t="shared" si="0"/>
        <v>0</v>
      </c>
      <c r="I17">
        <f t="shared" si="0"/>
        <v>0</v>
      </c>
      <c r="J17">
        <f t="shared" si="0"/>
        <v>0</v>
      </c>
      <c r="K17">
        <f t="shared" si="0"/>
        <v>0</v>
      </c>
      <c r="L17">
        <f t="shared" si="0"/>
        <v>0</v>
      </c>
      <c r="M17">
        <f t="shared" si="0"/>
        <v>0</v>
      </c>
      <c r="N17">
        <f t="shared" si="0"/>
        <v>0</v>
      </c>
      <c r="O17">
        <f t="shared" si="0"/>
        <v>0</v>
      </c>
      <c r="P17">
        <f t="shared" si="0"/>
        <v>0</v>
      </c>
      <c r="Q17">
        <f t="shared" si="0"/>
        <v>0</v>
      </c>
      <c r="R17">
        <f t="shared" si="0"/>
        <v>0</v>
      </c>
      <c r="S17">
        <f t="shared" si="0"/>
        <v>0</v>
      </c>
      <c r="T17">
        <f t="shared" si="0"/>
        <v>0</v>
      </c>
      <c r="U17">
        <f t="shared" si="0"/>
        <v>0</v>
      </c>
      <c r="V17">
        <f t="shared" si="0"/>
        <v>0</v>
      </c>
      <c r="W17">
        <f t="shared" si="0"/>
        <v>0</v>
      </c>
      <c r="X17">
        <f t="shared" si="0"/>
        <v>0</v>
      </c>
      <c r="Y17">
        <f t="shared" si="0"/>
        <v>0</v>
      </c>
      <c r="Z17">
        <f t="shared" si="0"/>
        <v>0</v>
      </c>
      <c r="AA17">
        <f t="shared" si="0"/>
        <v>0</v>
      </c>
      <c r="AB17">
        <f t="shared" si="0"/>
        <v>0</v>
      </c>
      <c r="AC17">
        <f t="shared" si="0"/>
        <v>0</v>
      </c>
      <c r="AD17">
        <f t="shared" si="0"/>
        <v>0</v>
      </c>
      <c r="AE17">
        <f t="shared" si="0"/>
        <v>0</v>
      </c>
      <c r="AF17">
        <f t="shared" si="0"/>
        <v>0</v>
      </c>
      <c r="AG17">
        <f t="shared" si="0"/>
        <v>0</v>
      </c>
      <c r="AH17">
        <f t="shared" si="0"/>
        <v>0</v>
      </c>
      <c r="AI17">
        <f t="shared" si="0"/>
        <v>0</v>
      </c>
      <c r="AJ17">
        <f t="shared" si="0"/>
        <v>0</v>
      </c>
      <c r="AK17">
        <f t="shared" si="0"/>
        <v>0</v>
      </c>
      <c r="AL17">
        <f t="shared" si="0"/>
        <v>0</v>
      </c>
      <c r="AM17">
        <f t="shared" si="0"/>
        <v>0</v>
      </c>
      <c r="AN17">
        <f t="shared" si="0"/>
        <v>0</v>
      </c>
      <c r="AO17">
        <f t="shared" si="0"/>
        <v>0</v>
      </c>
      <c r="AP17">
        <f t="shared" si="0"/>
        <v>0</v>
      </c>
      <c r="AQ17">
        <f t="shared" si="0"/>
        <v>0</v>
      </c>
      <c r="AR17">
        <f t="shared" si="0"/>
        <v>0</v>
      </c>
      <c r="AS17">
        <f t="shared" si="0"/>
        <v>0</v>
      </c>
      <c r="AT17">
        <f t="shared" si="0"/>
        <v>0</v>
      </c>
      <c r="AU17">
        <f t="shared" si="0"/>
        <v>0</v>
      </c>
      <c r="AV17">
        <f t="shared" si="0"/>
        <v>0</v>
      </c>
      <c r="AW17">
        <f t="shared" si="0"/>
        <v>0</v>
      </c>
      <c r="AX17">
        <f t="shared" si="0"/>
        <v>0</v>
      </c>
      <c r="AY17">
        <f t="shared" si="0"/>
        <v>0</v>
      </c>
      <c r="AZ17">
        <f t="shared" si="0"/>
        <v>0</v>
      </c>
      <c r="BA17">
        <f t="shared" si="0"/>
        <v>0</v>
      </c>
      <c r="BB17">
        <f t="shared" si="0"/>
        <v>0</v>
      </c>
      <c r="BC17">
        <f t="shared" si="0"/>
        <v>0</v>
      </c>
      <c r="BD17">
        <f t="shared" si="0"/>
        <v>29332.279470059566</v>
      </c>
      <c r="BE17">
        <f t="shared" si="0"/>
        <v>21966.342691647496</v>
      </c>
      <c r="BF17">
        <f t="shared" si="0"/>
        <v>38335.938679651852</v>
      </c>
      <c r="BG17">
        <f t="shared" si="0"/>
        <v>26740.733250617701</v>
      </c>
    </row>
    <row r="18" spans="1:59" x14ac:dyDescent="0.2">
      <c r="A18" s="1">
        <v>2258</v>
      </c>
      <c r="B18" t="s">
        <v>61</v>
      </c>
      <c r="C18">
        <f t="shared" si="1"/>
        <v>12282.206369269181</v>
      </c>
      <c r="D18">
        <f t="shared" si="0"/>
        <v>218.10479315814874</v>
      </c>
      <c r="E18">
        <f t="shared" si="0"/>
        <v>0</v>
      </c>
      <c r="F18">
        <f t="shared" si="0"/>
        <v>0</v>
      </c>
      <c r="G18">
        <f t="shared" si="0"/>
        <v>0</v>
      </c>
      <c r="H18">
        <f t="shared" si="0"/>
        <v>0</v>
      </c>
      <c r="I18">
        <f t="shared" si="0"/>
        <v>0</v>
      </c>
      <c r="J18">
        <f t="shared" si="0"/>
        <v>0</v>
      </c>
      <c r="K18">
        <f t="shared" si="0"/>
        <v>0</v>
      </c>
      <c r="L18">
        <f t="shared" si="0"/>
        <v>0</v>
      </c>
      <c r="M18">
        <f t="shared" si="0"/>
        <v>0</v>
      </c>
      <c r="N18">
        <f t="shared" si="0"/>
        <v>0</v>
      </c>
      <c r="O18">
        <f t="shared" si="0"/>
        <v>0</v>
      </c>
      <c r="P18">
        <f t="shared" si="0"/>
        <v>0</v>
      </c>
      <c r="Q18">
        <f t="shared" si="0"/>
        <v>0</v>
      </c>
      <c r="R18">
        <f t="shared" si="0"/>
        <v>0</v>
      </c>
      <c r="S18">
        <f t="shared" si="0"/>
        <v>0</v>
      </c>
      <c r="T18">
        <f t="shared" si="0"/>
        <v>0</v>
      </c>
      <c r="U18">
        <f t="shared" si="0"/>
        <v>0</v>
      </c>
      <c r="V18">
        <f t="shared" si="0"/>
        <v>0</v>
      </c>
      <c r="W18">
        <f t="shared" si="0"/>
        <v>0</v>
      </c>
      <c r="X18">
        <f t="shared" si="0"/>
        <v>0</v>
      </c>
      <c r="Y18">
        <f t="shared" si="0"/>
        <v>0</v>
      </c>
      <c r="Z18">
        <f t="shared" si="0"/>
        <v>0</v>
      </c>
      <c r="AA18">
        <f t="shared" si="0"/>
        <v>0</v>
      </c>
      <c r="AB18">
        <f t="shared" si="0"/>
        <v>0</v>
      </c>
      <c r="AC18">
        <f t="shared" si="0"/>
        <v>0</v>
      </c>
      <c r="AD18">
        <f t="shared" si="0"/>
        <v>0</v>
      </c>
      <c r="AE18">
        <f t="shared" si="0"/>
        <v>0</v>
      </c>
      <c r="AF18">
        <f t="shared" si="0"/>
        <v>0</v>
      </c>
      <c r="AG18">
        <f t="shared" si="0"/>
        <v>0</v>
      </c>
      <c r="AH18">
        <f t="shared" si="0"/>
        <v>0</v>
      </c>
      <c r="AI18">
        <f t="shared" si="0"/>
        <v>0</v>
      </c>
      <c r="AJ18">
        <f t="shared" si="0"/>
        <v>0</v>
      </c>
      <c r="AK18">
        <f t="shared" si="0"/>
        <v>0</v>
      </c>
      <c r="AL18">
        <f t="shared" si="0"/>
        <v>0</v>
      </c>
      <c r="AM18">
        <f t="shared" si="0"/>
        <v>0</v>
      </c>
      <c r="AN18">
        <f t="shared" si="0"/>
        <v>0</v>
      </c>
      <c r="AO18">
        <f t="shared" si="0"/>
        <v>0</v>
      </c>
      <c r="AP18">
        <f t="shared" si="0"/>
        <v>0</v>
      </c>
      <c r="AQ18">
        <f t="shared" si="0"/>
        <v>0</v>
      </c>
      <c r="AR18">
        <f t="shared" si="0"/>
        <v>0</v>
      </c>
      <c r="AS18">
        <f t="shared" si="0"/>
        <v>0</v>
      </c>
      <c r="AT18">
        <f t="shared" si="0"/>
        <v>0</v>
      </c>
      <c r="AU18">
        <f t="shared" si="0"/>
        <v>0</v>
      </c>
      <c r="AV18">
        <f t="shared" si="0"/>
        <v>0</v>
      </c>
      <c r="AW18">
        <f t="shared" si="0"/>
        <v>0</v>
      </c>
      <c r="AX18">
        <f t="shared" si="0"/>
        <v>0</v>
      </c>
      <c r="AY18">
        <f t="shared" si="0"/>
        <v>0</v>
      </c>
      <c r="AZ18">
        <f t="shared" si="0"/>
        <v>0</v>
      </c>
      <c r="BA18">
        <f t="shared" si="0"/>
        <v>0</v>
      </c>
      <c r="BB18">
        <f t="shared" si="0"/>
        <v>0</v>
      </c>
      <c r="BC18">
        <f t="shared" si="0"/>
        <v>0</v>
      </c>
      <c r="BD18">
        <f t="shared" si="0"/>
        <v>1056.7288927060554</v>
      </c>
      <c r="BE18">
        <f t="shared" si="0"/>
        <v>1023.6529871459728</v>
      </c>
      <c r="BF18">
        <f t="shared" si="0"/>
        <v>277.58952638769813</v>
      </c>
      <c r="BG18">
        <f t="shared" si="0"/>
        <v>288.8841681973372</v>
      </c>
    </row>
    <row r="19" spans="1:59" x14ac:dyDescent="0.2">
      <c r="A19" s="1">
        <v>2557</v>
      </c>
      <c r="B19" t="s">
        <v>62</v>
      </c>
      <c r="C19">
        <f t="shared" si="1"/>
        <v>0</v>
      </c>
      <c r="D19">
        <f t="shared" si="0"/>
        <v>259.44975986748051</v>
      </c>
      <c r="E19">
        <f t="shared" si="0"/>
        <v>47146.0971520858</v>
      </c>
      <c r="F19">
        <f t="shared" si="0"/>
        <v>47188.990456403408</v>
      </c>
      <c r="G19">
        <f t="shared" si="0"/>
        <v>39699.149997918408</v>
      </c>
      <c r="H19">
        <f t="shared" si="0"/>
        <v>103596.58020932</v>
      </c>
      <c r="I19">
        <f t="shared" si="0"/>
        <v>105338.543777984</v>
      </c>
      <c r="J19">
        <f t="shared" si="0"/>
        <v>97614.473952072003</v>
      </c>
      <c r="K19">
        <f t="shared" si="0"/>
        <v>32121.218839892601</v>
      </c>
      <c r="L19">
        <f t="shared" si="0"/>
        <v>30946.9708617014</v>
      </c>
      <c r="M19">
        <f t="shared" si="0"/>
        <v>21984.047467327</v>
      </c>
      <c r="N19">
        <f t="shared" si="0"/>
        <v>42503.165349589995</v>
      </c>
      <c r="O19">
        <f t="shared" si="0"/>
        <v>34097.500072638191</v>
      </c>
      <c r="P19">
        <f t="shared" si="0"/>
        <v>41067.658375561412</v>
      </c>
      <c r="Q19">
        <f t="shared" si="0"/>
        <v>54556.000285344802</v>
      </c>
      <c r="R19">
        <f t="shared" si="0"/>
        <v>43407.380555596203</v>
      </c>
      <c r="S19">
        <f t="shared" si="0"/>
        <v>41996.599213030007</v>
      </c>
      <c r="T19">
        <f t="shared" si="0"/>
        <v>107617.82549249599</v>
      </c>
      <c r="U19">
        <f t="shared" si="0"/>
        <v>119099.576927606</v>
      </c>
      <c r="V19">
        <f t="shared" si="0"/>
        <v>99474.305450783999</v>
      </c>
      <c r="W19">
        <f t="shared" si="0"/>
        <v>121751.65154950599</v>
      </c>
      <c r="X19">
        <f t="shared" si="0"/>
        <v>107231.345938112</v>
      </c>
      <c r="Y19">
        <f t="shared" si="0"/>
        <v>146449.33086079999</v>
      </c>
      <c r="Z19">
        <f t="shared" si="0"/>
        <v>181180.157703226</v>
      </c>
      <c r="AA19">
        <f t="shared" si="0"/>
        <v>200793.55372238799</v>
      </c>
      <c r="AB19">
        <f t="shared" si="0"/>
        <v>179564.92430203798</v>
      </c>
      <c r="AC19">
        <f t="shared" si="0"/>
        <v>119585.40529077999</v>
      </c>
      <c r="AD19">
        <f t="shared" si="0"/>
        <v>69190.230637719404</v>
      </c>
      <c r="AE19">
        <f t="shared" si="0"/>
        <v>70116.069864343808</v>
      </c>
      <c r="AF19">
        <f t="shared" si="0"/>
        <v>38189.200119877401</v>
      </c>
      <c r="AG19">
        <f t="shared" si="0"/>
        <v>67365.493743290601</v>
      </c>
      <c r="AH19">
        <f t="shared" si="0"/>
        <v>67423.984690400815</v>
      </c>
      <c r="AI19">
        <f t="shared" si="0"/>
        <v>208574.69652646</v>
      </c>
      <c r="AJ19">
        <f t="shared" si="0"/>
        <v>238659.45894953801</v>
      </c>
      <c r="AK19">
        <f t="shared" si="0"/>
        <v>232781.83894605198</v>
      </c>
      <c r="AL19">
        <f t="shared" si="0"/>
        <v>65390.630448176002</v>
      </c>
      <c r="AM19">
        <f t="shared" si="0"/>
        <v>75128.823259085213</v>
      </c>
      <c r="AN19">
        <f t="shared" si="0"/>
        <v>97984.561585261996</v>
      </c>
      <c r="AO19">
        <f t="shared" si="0"/>
        <v>74335.208856044395</v>
      </c>
      <c r="AP19">
        <f t="shared" si="0"/>
        <v>108208.05108460601</v>
      </c>
      <c r="AQ19">
        <f t="shared" si="0"/>
        <v>70783.397016035</v>
      </c>
      <c r="AR19">
        <f t="shared" si="0"/>
        <v>70279.046532789594</v>
      </c>
      <c r="AS19">
        <f t="shared" si="0"/>
        <v>84770.594839083991</v>
      </c>
      <c r="AT19">
        <f t="shared" si="0"/>
        <v>62338.4721274986</v>
      </c>
      <c r="AU19">
        <f t="shared" si="0"/>
        <v>0</v>
      </c>
      <c r="AV19">
        <f t="shared" si="0"/>
        <v>0</v>
      </c>
      <c r="AW19">
        <f t="shared" si="0"/>
        <v>0</v>
      </c>
      <c r="AX19">
        <f t="shared" ref="D19:BG21" si="2">AX6*7829800000</f>
        <v>0</v>
      </c>
      <c r="AY19">
        <f t="shared" si="2"/>
        <v>0</v>
      </c>
      <c r="AZ19">
        <f t="shared" si="2"/>
        <v>0</v>
      </c>
      <c r="BA19">
        <f t="shared" si="2"/>
        <v>0</v>
      </c>
      <c r="BB19">
        <f t="shared" si="2"/>
        <v>0</v>
      </c>
      <c r="BC19">
        <f t="shared" si="2"/>
        <v>0</v>
      </c>
      <c r="BD19">
        <f t="shared" si="2"/>
        <v>0</v>
      </c>
      <c r="BE19">
        <f t="shared" si="2"/>
        <v>0</v>
      </c>
      <c r="BF19">
        <f t="shared" si="2"/>
        <v>0</v>
      </c>
      <c r="BG19">
        <f t="shared" si="2"/>
        <v>0</v>
      </c>
    </row>
    <row r="20" spans="1:59" x14ac:dyDescent="0.2">
      <c r="A20" s="1">
        <v>3387</v>
      </c>
      <c r="B20" t="s">
        <v>63</v>
      </c>
      <c r="C20">
        <f t="shared" si="1"/>
        <v>105574.94815196418</v>
      </c>
      <c r="D20">
        <f t="shared" si="2"/>
        <v>3221.4608865791702</v>
      </c>
      <c r="E20">
        <f t="shared" si="2"/>
        <v>0</v>
      </c>
      <c r="F20">
        <f t="shared" si="2"/>
        <v>0</v>
      </c>
      <c r="G20">
        <f t="shared" si="2"/>
        <v>0</v>
      </c>
      <c r="H20">
        <f t="shared" si="2"/>
        <v>0</v>
      </c>
      <c r="I20">
        <f t="shared" si="2"/>
        <v>0</v>
      </c>
      <c r="J20">
        <f t="shared" si="2"/>
        <v>0</v>
      </c>
      <c r="K20">
        <f t="shared" si="2"/>
        <v>0</v>
      </c>
      <c r="L20">
        <f t="shared" si="2"/>
        <v>0</v>
      </c>
      <c r="M20">
        <f t="shared" si="2"/>
        <v>0</v>
      </c>
      <c r="N20">
        <f t="shared" si="2"/>
        <v>0</v>
      </c>
      <c r="O20">
        <f t="shared" si="2"/>
        <v>0</v>
      </c>
      <c r="P20">
        <f t="shared" si="2"/>
        <v>0</v>
      </c>
      <c r="Q20">
        <f t="shared" si="2"/>
        <v>0</v>
      </c>
      <c r="R20">
        <f t="shared" si="2"/>
        <v>0</v>
      </c>
      <c r="S20">
        <f t="shared" si="2"/>
        <v>0</v>
      </c>
      <c r="T20">
        <f t="shared" si="2"/>
        <v>0</v>
      </c>
      <c r="U20">
        <f t="shared" si="2"/>
        <v>0</v>
      </c>
      <c r="V20">
        <f t="shared" si="2"/>
        <v>0</v>
      </c>
      <c r="W20">
        <f t="shared" si="2"/>
        <v>0</v>
      </c>
      <c r="X20">
        <f t="shared" si="2"/>
        <v>0</v>
      </c>
      <c r="Y20">
        <f t="shared" si="2"/>
        <v>0</v>
      </c>
      <c r="Z20">
        <f t="shared" si="2"/>
        <v>0</v>
      </c>
      <c r="AA20">
        <f t="shared" si="2"/>
        <v>0</v>
      </c>
      <c r="AB20">
        <f t="shared" si="2"/>
        <v>0</v>
      </c>
      <c r="AC20">
        <f t="shared" si="2"/>
        <v>0</v>
      </c>
      <c r="AD20">
        <f t="shared" si="2"/>
        <v>0</v>
      </c>
      <c r="AE20">
        <f t="shared" si="2"/>
        <v>0</v>
      </c>
      <c r="AF20">
        <f t="shared" si="2"/>
        <v>0</v>
      </c>
      <c r="AG20">
        <f t="shared" si="2"/>
        <v>0</v>
      </c>
      <c r="AH20">
        <f t="shared" si="2"/>
        <v>0</v>
      </c>
      <c r="AI20">
        <f t="shared" si="2"/>
        <v>0</v>
      </c>
      <c r="AJ20">
        <f t="shared" si="2"/>
        <v>0</v>
      </c>
      <c r="AK20">
        <f t="shared" si="2"/>
        <v>0</v>
      </c>
      <c r="AL20">
        <f t="shared" si="2"/>
        <v>0</v>
      </c>
      <c r="AM20">
        <f t="shared" si="2"/>
        <v>0</v>
      </c>
      <c r="AN20">
        <f t="shared" si="2"/>
        <v>0</v>
      </c>
      <c r="AO20">
        <f t="shared" si="2"/>
        <v>0</v>
      </c>
      <c r="AP20">
        <f t="shared" si="2"/>
        <v>0</v>
      </c>
      <c r="AQ20">
        <f t="shared" si="2"/>
        <v>0</v>
      </c>
      <c r="AR20">
        <f t="shared" si="2"/>
        <v>0</v>
      </c>
      <c r="AS20">
        <f t="shared" si="2"/>
        <v>0</v>
      </c>
      <c r="AT20">
        <f t="shared" si="2"/>
        <v>0</v>
      </c>
      <c r="AU20">
        <f t="shared" si="2"/>
        <v>0</v>
      </c>
      <c r="AV20">
        <f t="shared" si="2"/>
        <v>0</v>
      </c>
      <c r="AW20">
        <f t="shared" si="2"/>
        <v>0</v>
      </c>
      <c r="AX20">
        <f t="shared" si="2"/>
        <v>0</v>
      </c>
      <c r="AY20">
        <f t="shared" si="2"/>
        <v>0</v>
      </c>
      <c r="AZ20">
        <f t="shared" si="2"/>
        <v>0</v>
      </c>
      <c r="BA20">
        <f t="shared" si="2"/>
        <v>0</v>
      </c>
      <c r="BB20">
        <f t="shared" si="2"/>
        <v>0</v>
      </c>
      <c r="BC20">
        <f t="shared" si="2"/>
        <v>0</v>
      </c>
      <c r="BD20">
        <f t="shared" si="2"/>
        <v>3746.6029125211144</v>
      </c>
      <c r="BE20">
        <f t="shared" si="2"/>
        <v>9150.1792323246827</v>
      </c>
      <c r="BF20">
        <f t="shared" si="2"/>
        <v>65195.580013691098</v>
      </c>
      <c r="BG20">
        <f t="shared" si="2"/>
        <v>69561.192448017333</v>
      </c>
    </row>
    <row r="21" spans="1:59" x14ac:dyDescent="0.2">
      <c r="A21" s="1">
        <v>3855</v>
      </c>
      <c r="B21" t="s">
        <v>64</v>
      </c>
      <c r="C21">
        <f t="shared" si="1"/>
        <v>28342.028209167962</v>
      </c>
      <c r="D21">
        <f t="shared" si="2"/>
        <v>14619.884076705142</v>
      </c>
      <c r="E21">
        <f t="shared" si="2"/>
        <v>0</v>
      </c>
      <c r="F21">
        <f t="shared" si="2"/>
        <v>0</v>
      </c>
      <c r="G21">
        <f t="shared" si="2"/>
        <v>0</v>
      </c>
      <c r="H21">
        <f t="shared" si="2"/>
        <v>0</v>
      </c>
      <c r="I21">
        <f t="shared" si="2"/>
        <v>0</v>
      </c>
      <c r="J21">
        <f t="shared" si="2"/>
        <v>0</v>
      </c>
      <c r="K21">
        <f t="shared" si="2"/>
        <v>0</v>
      </c>
      <c r="L21">
        <f t="shared" si="2"/>
        <v>0</v>
      </c>
      <c r="M21">
        <f t="shared" si="2"/>
        <v>0</v>
      </c>
      <c r="N21">
        <f t="shared" si="2"/>
        <v>0</v>
      </c>
      <c r="O21">
        <f t="shared" si="2"/>
        <v>0</v>
      </c>
      <c r="P21">
        <f t="shared" si="2"/>
        <v>0</v>
      </c>
      <c r="Q21">
        <f t="shared" si="2"/>
        <v>0</v>
      </c>
      <c r="R21">
        <f t="shared" si="2"/>
        <v>0</v>
      </c>
      <c r="S21">
        <f t="shared" si="2"/>
        <v>0</v>
      </c>
      <c r="T21">
        <f t="shared" si="2"/>
        <v>0</v>
      </c>
      <c r="U21">
        <f t="shared" si="2"/>
        <v>0</v>
      </c>
      <c r="V21">
        <f t="shared" si="2"/>
        <v>0</v>
      </c>
      <c r="W21">
        <f t="shared" si="2"/>
        <v>0</v>
      </c>
      <c r="X21">
        <f t="shared" si="2"/>
        <v>0</v>
      </c>
      <c r="Y21">
        <f t="shared" si="2"/>
        <v>0</v>
      </c>
      <c r="Z21">
        <f t="shared" si="2"/>
        <v>0</v>
      </c>
      <c r="AA21">
        <f t="shared" si="2"/>
        <v>0</v>
      </c>
      <c r="AB21">
        <f t="shared" si="2"/>
        <v>0</v>
      </c>
      <c r="AC21">
        <f t="shared" si="2"/>
        <v>0</v>
      </c>
      <c r="AD21">
        <f t="shared" si="2"/>
        <v>0</v>
      </c>
      <c r="AE21">
        <f t="shared" si="2"/>
        <v>0</v>
      </c>
      <c r="AF21">
        <f t="shared" si="2"/>
        <v>0</v>
      </c>
      <c r="AG21">
        <f t="shared" si="2"/>
        <v>0</v>
      </c>
      <c r="AH21">
        <f t="shared" si="2"/>
        <v>0</v>
      </c>
      <c r="AI21">
        <f t="shared" si="2"/>
        <v>0</v>
      </c>
      <c r="AJ21">
        <f t="shared" si="2"/>
        <v>0</v>
      </c>
      <c r="AK21">
        <f t="shared" si="2"/>
        <v>0</v>
      </c>
      <c r="AL21">
        <f t="shared" si="2"/>
        <v>0</v>
      </c>
      <c r="AM21">
        <f t="shared" si="2"/>
        <v>0</v>
      </c>
      <c r="AN21">
        <f t="shared" si="2"/>
        <v>0</v>
      </c>
      <c r="AO21">
        <f t="shared" si="2"/>
        <v>0</v>
      </c>
      <c r="AP21">
        <f t="shared" si="2"/>
        <v>0</v>
      </c>
      <c r="AQ21">
        <f t="shared" si="2"/>
        <v>0</v>
      </c>
      <c r="AR21">
        <f t="shared" si="2"/>
        <v>0</v>
      </c>
      <c r="AS21">
        <f t="shared" si="2"/>
        <v>0</v>
      </c>
      <c r="AT21">
        <f t="shared" si="2"/>
        <v>0</v>
      </c>
      <c r="AU21">
        <f t="shared" si="2"/>
        <v>0</v>
      </c>
      <c r="AV21">
        <f t="shared" si="2"/>
        <v>0</v>
      </c>
      <c r="AW21">
        <f t="shared" si="2"/>
        <v>0</v>
      </c>
      <c r="AX21">
        <f t="shared" si="2"/>
        <v>0</v>
      </c>
      <c r="AY21">
        <f t="shared" si="2"/>
        <v>0</v>
      </c>
      <c r="AZ21">
        <f t="shared" si="2"/>
        <v>0</v>
      </c>
      <c r="BA21">
        <f t="shared" si="2"/>
        <v>0</v>
      </c>
      <c r="BB21">
        <f t="shared" si="2"/>
        <v>0</v>
      </c>
      <c r="BC21">
        <f t="shared" si="2"/>
        <v>0</v>
      </c>
      <c r="BD21">
        <f t="shared" si="2"/>
        <v>3171.4578399084394</v>
      </c>
      <c r="BE21">
        <f t="shared" si="2"/>
        <v>4125.2809414313142</v>
      </c>
      <c r="BF21">
        <f t="shared" si="2"/>
        <v>5857.1013783790549</v>
      </c>
      <c r="BG21">
        <f t="shared" si="2"/>
        <v>5183.5859194973664</v>
      </c>
    </row>
    <row r="24" spans="1:59" x14ac:dyDescent="0.2">
      <c r="B24" s="1" t="s">
        <v>0</v>
      </c>
      <c r="C24" s="1" t="s">
        <v>1</v>
      </c>
      <c r="D24" s="1" t="s">
        <v>2</v>
      </c>
      <c r="E24" s="1" t="s">
        <v>3</v>
      </c>
      <c r="F24" s="1" t="s">
        <v>4</v>
      </c>
      <c r="G24" s="1" t="s">
        <v>5</v>
      </c>
      <c r="H24" s="1" t="s">
        <v>6</v>
      </c>
      <c r="I24" s="1" t="s">
        <v>7</v>
      </c>
      <c r="J24" s="1" t="s">
        <v>8</v>
      </c>
      <c r="K24" s="1" t="s">
        <v>9</v>
      </c>
      <c r="L24" s="1" t="s">
        <v>10</v>
      </c>
      <c r="M24" s="1" t="s">
        <v>11</v>
      </c>
      <c r="N24" s="1" t="s">
        <v>12</v>
      </c>
      <c r="O24" s="1" t="s">
        <v>13</v>
      </c>
      <c r="P24" s="1" t="s">
        <v>14</v>
      </c>
      <c r="Q24" s="1" t="s">
        <v>15</v>
      </c>
      <c r="R24" s="1" t="s">
        <v>16</v>
      </c>
      <c r="S24" s="1" t="s">
        <v>17</v>
      </c>
      <c r="T24" s="1" t="s">
        <v>18</v>
      </c>
      <c r="U24" s="1" t="s">
        <v>19</v>
      </c>
      <c r="V24" s="1" t="s">
        <v>20</v>
      </c>
      <c r="W24" s="1" t="s">
        <v>21</v>
      </c>
      <c r="X24" s="1" t="s">
        <v>22</v>
      </c>
      <c r="Y24" s="1" t="s">
        <v>23</v>
      </c>
      <c r="Z24" s="1" t="s">
        <v>24</v>
      </c>
      <c r="AA24" s="1" t="s">
        <v>25</v>
      </c>
      <c r="AB24" s="1" t="s">
        <v>26</v>
      </c>
      <c r="AC24" s="1" t="s">
        <v>27</v>
      </c>
      <c r="AD24" s="1" t="s">
        <v>28</v>
      </c>
      <c r="AE24" s="1" t="s">
        <v>29</v>
      </c>
      <c r="AF24" s="1" t="s">
        <v>30</v>
      </c>
      <c r="AG24" s="1" t="s">
        <v>31</v>
      </c>
      <c r="AH24" s="1" t="s">
        <v>32</v>
      </c>
      <c r="AI24" s="1" t="s">
        <v>33</v>
      </c>
      <c r="AJ24" s="1" t="s">
        <v>34</v>
      </c>
      <c r="AK24" s="1" t="s">
        <v>35</v>
      </c>
      <c r="AL24" s="1" t="s">
        <v>36</v>
      </c>
      <c r="AM24" s="1" t="s">
        <v>37</v>
      </c>
      <c r="AN24" s="1" t="s">
        <v>38</v>
      </c>
      <c r="AO24" s="1" t="s">
        <v>39</v>
      </c>
      <c r="AP24" s="1" t="s">
        <v>40</v>
      </c>
      <c r="AQ24" s="1" t="s">
        <v>41</v>
      </c>
      <c r="AR24" s="1" t="s">
        <v>42</v>
      </c>
      <c r="AS24" s="1" t="s">
        <v>43</v>
      </c>
      <c r="AT24" s="1" t="s">
        <v>44</v>
      </c>
      <c r="AU24" s="1" t="s">
        <v>45</v>
      </c>
      <c r="AV24" s="1" t="s">
        <v>46</v>
      </c>
      <c r="AW24" s="1" t="s">
        <v>47</v>
      </c>
      <c r="AX24" s="1" t="s">
        <v>48</v>
      </c>
      <c r="AY24" s="1" t="s">
        <v>49</v>
      </c>
      <c r="AZ24" s="1" t="s">
        <v>50</v>
      </c>
      <c r="BA24" s="1" t="s">
        <v>51</v>
      </c>
      <c r="BB24" s="1" t="s">
        <v>52</v>
      </c>
      <c r="BC24" s="1" t="s">
        <v>53</v>
      </c>
      <c r="BD24" s="1" t="s">
        <v>54</v>
      </c>
      <c r="BE24" s="1" t="s">
        <v>55</v>
      </c>
      <c r="BF24" s="1" t="s">
        <v>56</v>
      </c>
      <c r="BG24" s="1" t="s">
        <v>57</v>
      </c>
    </row>
    <row r="25" spans="1:59" x14ac:dyDescent="0.2">
      <c r="A25" s="1">
        <v>349</v>
      </c>
      <c r="B25" t="s">
        <v>58</v>
      </c>
      <c r="C25">
        <f>C15*20.34</f>
        <v>712931.40951273218</v>
      </c>
      <c r="D25">
        <f t="shared" ref="D25:BG29" si="3">D15*20.34</f>
        <v>72383.636214574435</v>
      </c>
      <c r="E25">
        <f t="shared" si="3"/>
        <v>0</v>
      </c>
      <c r="F25">
        <f t="shared" si="3"/>
        <v>0</v>
      </c>
      <c r="G25">
        <f t="shared" si="3"/>
        <v>0</v>
      </c>
      <c r="H25">
        <f t="shared" si="3"/>
        <v>0</v>
      </c>
      <c r="I25">
        <f t="shared" si="3"/>
        <v>0</v>
      </c>
      <c r="J25">
        <f t="shared" si="3"/>
        <v>0</v>
      </c>
      <c r="K25">
        <f t="shared" si="3"/>
        <v>0</v>
      </c>
      <c r="L25">
        <f t="shared" si="3"/>
        <v>0</v>
      </c>
      <c r="M25">
        <f t="shared" si="3"/>
        <v>0</v>
      </c>
      <c r="N25">
        <f t="shared" si="3"/>
        <v>0</v>
      </c>
      <c r="O25">
        <f t="shared" si="3"/>
        <v>0</v>
      </c>
      <c r="P25">
        <f t="shared" si="3"/>
        <v>0</v>
      </c>
      <c r="Q25">
        <f t="shared" si="3"/>
        <v>0</v>
      </c>
      <c r="R25">
        <f t="shared" si="3"/>
        <v>0</v>
      </c>
      <c r="S25">
        <f t="shared" si="3"/>
        <v>0</v>
      </c>
      <c r="T25">
        <f t="shared" si="3"/>
        <v>0</v>
      </c>
      <c r="U25">
        <f t="shared" si="3"/>
        <v>0</v>
      </c>
      <c r="V25">
        <f t="shared" si="3"/>
        <v>0</v>
      </c>
      <c r="W25">
        <f t="shared" si="3"/>
        <v>0</v>
      </c>
      <c r="X25">
        <f t="shared" si="3"/>
        <v>0</v>
      </c>
      <c r="Y25">
        <f t="shared" si="3"/>
        <v>0</v>
      </c>
      <c r="Z25">
        <f t="shared" si="3"/>
        <v>0</v>
      </c>
      <c r="AA25">
        <f t="shared" si="3"/>
        <v>0</v>
      </c>
      <c r="AB25">
        <f t="shared" si="3"/>
        <v>0</v>
      </c>
      <c r="AC25">
        <f t="shared" si="3"/>
        <v>0</v>
      </c>
      <c r="AD25">
        <f t="shared" si="3"/>
        <v>0</v>
      </c>
      <c r="AE25">
        <f t="shared" si="3"/>
        <v>0</v>
      </c>
      <c r="AF25">
        <f t="shared" si="3"/>
        <v>0</v>
      </c>
      <c r="AG25">
        <f t="shared" si="3"/>
        <v>0</v>
      </c>
      <c r="AH25">
        <f t="shared" si="3"/>
        <v>0</v>
      </c>
      <c r="AI25">
        <f t="shared" si="3"/>
        <v>0</v>
      </c>
      <c r="AJ25">
        <f t="shared" si="3"/>
        <v>0</v>
      </c>
      <c r="AK25">
        <f t="shared" si="3"/>
        <v>0</v>
      </c>
      <c r="AL25">
        <f t="shared" si="3"/>
        <v>0</v>
      </c>
      <c r="AM25">
        <f t="shared" si="3"/>
        <v>0</v>
      </c>
      <c r="AN25">
        <f t="shared" si="3"/>
        <v>0</v>
      </c>
      <c r="AO25">
        <f t="shared" si="3"/>
        <v>0</v>
      </c>
      <c r="AP25">
        <f t="shared" si="3"/>
        <v>0</v>
      </c>
      <c r="AQ25">
        <f t="shared" si="3"/>
        <v>0</v>
      </c>
      <c r="AR25">
        <f t="shared" si="3"/>
        <v>0</v>
      </c>
      <c r="AS25">
        <f t="shared" si="3"/>
        <v>0</v>
      </c>
      <c r="AT25">
        <f t="shared" si="3"/>
        <v>0</v>
      </c>
      <c r="AU25">
        <f t="shared" si="3"/>
        <v>0</v>
      </c>
      <c r="AV25">
        <f t="shared" si="3"/>
        <v>0</v>
      </c>
      <c r="AW25">
        <f t="shared" si="3"/>
        <v>0</v>
      </c>
      <c r="AX25">
        <f t="shared" si="3"/>
        <v>0</v>
      </c>
      <c r="AY25">
        <f t="shared" si="3"/>
        <v>0</v>
      </c>
      <c r="AZ25">
        <f t="shared" si="3"/>
        <v>0</v>
      </c>
      <c r="BA25">
        <f t="shared" si="3"/>
        <v>0</v>
      </c>
      <c r="BB25">
        <f t="shared" si="3"/>
        <v>0</v>
      </c>
      <c r="BC25">
        <f t="shared" si="3"/>
        <v>0</v>
      </c>
      <c r="BD25">
        <f t="shared" si="3"/>
        <v>157635.79645058766</v>
      </c>
      <c r="BE25">
        <f t="shared" si="3"/>
        <v>118215.46162066062</v>
      </c>
      <c r="BF25">
        <f t="shared" si="3"/>
        <v>69113.466693361552</v>
      </c>
      <c r="BG25">
        <f t="shared" si="3"/>
        <v>40921.774309164393</v>
      </c>
    </row>
    <row r="26" spans="1:59" x14ac:dyDescent="0.2">
      <c r="A26" s="1">
        <v>739</v>
      </c>
      <c r="B26" t="s">
        <v>59</v>
      </c>
      <c r="C26">
        <f t="shared" ref="C26:R31" si="4">C16*20.34</f>
        <v>93889.813977555212</v>
      </c>
      <c r="D26">
        <f t="shared" si="4"/>
        <v>39353.394641442261</v>
      </c>
      <c r="E26">
        <f t="shared" si="4"/>
        <v>68921.095236751367</v>
      </c>
      <c r="F26">
        <f t="shared" si="4"/>
        <v>70145.299884191321</v>
      </c>
      <c r="G26">
        <f t="shared" si="4"/>
        <v>75514.197289524775</v>
      </c>
      <c r="H26">
        <f t="shared" si="4"/>
        <v>168944.60129288901</v>
      </c>
      <c r="I26">
        <f t="shared" si="4"/>
        <v>160190.65334017784</v>
      </c>
      <c r="J26">
        <f t="shared" si="4"/>
        <v>148465.38021795862</v>
      </c>
      <c r="K26">
        <f t="shared" si="4"/>
        <v>35961.566294251228</v>
      </c>
      <c r="L26">
        <f t="shared" si="4"/>
        <v>37489.41751279353</v>
      </c>
      <c r="M26">
        <f t="shared" si="4"/>
        <v>23547.046766574676</v>
      </c>
      <c r="N26">
        <f t="shared" si="4"/>
        <v>37407.464456576505</v>
      </c>
      <c r="O26">
        <f t="shared" si="4"/>
        <v>29186.696437694456</v>
      </c>
      <c r="P26">
        <f t="shared" si="4"/>
        <v>32417.539517692971</v>
      </c>
      <c r="Q26">
        <f t="shared" si="4"/>
        <v>50429.43901234895</v>
      </c>
      <c r="R26">
        <f t="shared" si="4"/>
        <v>48509.926212728256</v>
      </c>
      <c r="S26">
        <f t="shared" si="3"/>
        <v>49190.282303705491</v>
      </c>
      <c r="T26">
        <f t="shared" si="3"/>
        <v>100387.68810838801</v>
      </c>
      <c r="U26">
        <f t="shared" si="3"/>
        <v>94300.852432165178</v>
      </c>
      <c r="V26">
        <f t="shared" si="3"/>
        <v>101495.7519953017</v>
      </c>
      <c r="W26">
        <f t="shared" si="3"/>
        <v>99005.852692244094</v>
      </c>
      <c r="X26">
        <f t="shared" si="3"/>
        <v>104762.74033279055</v>
      </c>
      <c r="Y26">
        <f t="shared" si="3"/>
        <v>122860.66493891485</v>
      </c>
      <c r="Z26">
        <f t="shared" si="3"/>
        <v>220732.16623068365</v>
      </c>
      <c r="AA26">
        <f t="shared" si="3"/>
        <v>245852.97096160467</v>
      </c>
      <c r="AB26">
        <f t="shared" si="3"/>
        <v>222802.97694716678</v>
      </c>
      <c r="AC26">
        <f t="shared" si="3"/>
        <v>126603.78686772136</v>
      </c>
      <c r="AD26">
        <f t="shared" si="3"/>
        <v>64536.76644912122</v>
      </c>
      <c r="AE26">
        <f t="shared" si="3"/>
        <v>72480.235705591316</v>
      </c>
      <c r="AF26">
        <f t="shared" si="3"/>
        <v>16540.946476710757</v>
      </c>
      <c r="AG26">
        <f t="shared" si="3"/>
        <v>38734.474082269247</v>
      </c>
      <c r="AH26">
        <f t="shared" si="3"/>
        <v>43119.207019260975</v>
      </c>
      <c r="AI26">
        <f t="shared" si="3"/>
        <v>91361.048062139511</v>
      </c>
      <c r="AJ26">
        <f t="shared" si="3"/>
        <v>117112.09944353673</v>
      </c>
      <c r="AK26">
        <f t="shared" si="3"/>
        <v>105905.70127565922</v>
      </c>
      <c r="AL26">
        <f t="shared" si="3"/>
        <v>45790.926299066006</v>
      </c>
      <c r="AM26">
        <f t="shared" si="3"/>
        <v>45114.207090494376</v>
      </c>
      <c r="AN26">
        <f t="shared" si="3"/>
        <v>53276.945220493355</v>
      </c>
      <c r="AO26">
        <f t="shared" si="3"/>
        <v>64862.234999467168</v>
      </c>
      <c r="AP26">
        <f t="shared" si="3"/>
        <v>109618.32170480555</v>
      </c>
      <c r="AQ26">
        <f t="shared" si="3"/>
        <v>67016.615289984562</v>
      </c>
      <c r="AR26">
        <f t="shared" si="3"/>
        <v>60262.193492766637</v>
      </c>
      <c r="AS26">
        <f t="shared" si="3"/>
        <v>69501.717562922378</v>
      </c>
      <c r="AT26">
        <f t="shared" si="3"/>
        <v>57480.880156096515</v>
      </c>
      <c r="AU26">
        <f t="shared" si="3"/>
        <v>0</v>
      </c>
      <c r="AV26">
        <f t="shared" si="3"/>
        <v>0</v>
      </c>
      <c r="AW26">
        <f t="shared" si="3"/>
        <v>0</v>
      </c>
      <c r="AX26">
        <f t="shared" si="3"/>
        <v>0</v>
      </c>
      <c r="AY26">
        <f t="shared" si="3"/>
        <v>0</v>
      </c>
      <c r="AZ26">
        <f t="shared" si="3"/>
        <v>0</v>
      </c>
      <c r="BA26">
        <f t="shared" si="3"/>
        <v>0</v>
      </c>
      <c r="BB26">
        <f t="shared" si="3"/>
        <v>0</v>
      </c>
      <c r="BC26">
        <f t="shared" si="3"/>
        <v>0</v>
      </c>
      <c r="BD26">
        <f t="shared" si="3"/>
        <v>106768.1048685655</v>
      </c>
      <c r="BE26">
        <f t="shared" si="3"/>
        <v>177466.84498877547</v>
      </c>
      <c r="BF26">
        <f t="shared" si="3"/>
        <v>166731.45706304471</v>
      </c>
      <c r="BG26">
        <f t="shared" si="3"/>
        <v>209298.59355944075</v>
      </c>
    </row>
    <row r="27" spans="1:59" x14ac:dyDescent="0.2">
      <c r="A27" s="1">
        <v>1295</v>
      </c>
      <c r="B27" t="s">
        <v>60</v>
      </c>
      <c r="C27">
        <f t="shared" si="4"/>
        <v>1516000.2986336395</v>
      </c>
      <c r="D27">
        <f t="shared" si="3"/>
        <v>415061.31297747348</v>
      </c>
      <c r="E27">
        <f t="shared" si="3"/>
        <v>0</v>
      </c>
      <c r="F27">
        <f t="shared" si="3"/>
        <v>0</v>
      </c>
      <c r="G27">
        <f t="shared" si="3"/>
        <v>0</v>
      </c>
      <c r="H27">
        <f t="shared" si="3"/>
        <v>0</v>
      </c>
      <c r="I27">
        <f t="shared" si="3"/>
        <v>0</v>
      </c>
      <c r="J27">
        <f t="shared" si="3"/>
        <v>0</v>
      </c>
      <c r="K27">
        <f t="shared" si="3"/>
        <v>0</v>
      </c>
      <c r="L27">
        <f t="shared" si="3"/>
        <v>0</v>
      </c>
      <c r="M27">
        <f t="shared" si="3"/>
        <v>0</v>
      </c>
      <c r="N27">
        <f t="shared" si="3"/>
        <v>0</v>
      </c>
      <c r="O27">
        <f t="shared" si="3"/>
        <v>0</v>
      </c>
      <c r="P27">
        <f t="shared" si="3"/>
        <v>0</v>
      </c>
      <c r="Q27">
        <f t="shared" si="3"/>
        <v>0</v>
      </c>
      <c r="R27">
        <f t="shared" si="3"/>
        <v>0</v>
      </c>
      <c r="S27">
        <f t="shared" si="3"/>
        <v>0</v>
      </c>
      <c r="T27">
        <f t="shared" si="3"/>
        <v>0</v>
      </c>
      <c r="U27">
        <f t="shared" si="3"/>
        <v>0</v>
      </c>
      <c r="V27">
        <f t="shared" si="3"/>
        <v>0</v>
      </c>
      <c r="W27">
        <f t="shared" si="3"/>
        <v>0</v>
      </c>
      <c r="X27">
        <f t="shared" si="3"/>
        <v>0</v>
      </c>
      <c r="Y27">
        <f t="shared" si="3"/>
        <v>0</v>
      </c>
      <c r="Z27">
        <f t="shared" si="3"/>
        <v>0</v>
      </c>
      <c r="AA27">
        <f t="shared" si="3"/>
        <v>0</v>
      </c>
      <c r="AB27">
        <f t="shared" si="3"/>
        <v>0</v>
      </c>
      <c r="AC27">
        <f t="shared" si="3"/>
        <v>0</v>
      </c>
      <c r="AD27">
        <f t="shared" si="3"/>
        <v>0</v>
      </c>
      <c r="AE27">
        <f t="shared" si="3"/>
        <v>0</v>
      </c>
      <c r="AF27">
        <f t="shared" si="3"/>
        <v>0</v>
      </c>
      <c r="AG27">
        <f t="shared" si="3"/>
        <v>0</v>
      </c>
      <c r="AH27">
        <f t="shared" si="3"/>
        <v>0</v>
      </c>
      <c r="AI27">
        <f t="shared" si="3"/>
        <v>0</v>
      </c>
      <c r="AJ27">
        <f t="shared" si="3"/>
        <v>0</v>
      </c>
      <c r="AK27">
        <f t="shared" si="3"/>
        <v>0</v>
      </c>
      <c r="AL27">
        <f t="shared" si="3"/>
        <v>0</v>
      </c>
      <c r="AM27">
        <f t="shared" si="3"/>
        <v>0</v>
      </c>
      <c r="AN27">
        <f t="shared" si="3"/>
        <v>0</v>
      </c>
      <c r="AO27">
        <f t="shared" si="3"/>
        <v>0</v>
      </c>
      <c r="AP27">
        <f t="shared" si="3"/>
        <v>0</v>
      </c>
      <c r="AQ27">
        <f t="shared" si="3"/>
        <v>0</v>
      </c>
      <c r="AR27">
        <f t="shared" si="3"/>
        <v>0</v>
      </c>
      <c r="AS27">
        <f t="shared" si="3"/>
        <v>0</v>
      </c>
      <c r="AT27">
        <f t="shared" si="3"/>
        <v>0</v>
      </c>
      <c r="AU27">
        <f t="shared" si="3"/>
        <v>0</v>
      </c>
      <c r="AV27">
        <f t="shared" si="3"/>
        <v>0</v>
      </c>
      <c r="AW27">
        <f t="shared" si="3"/>
        <v>0</v>
      </c>
      <c r="AX27">
        <f t="shared" si="3"/>
        <v>0</v>
      </c>
      <c r="AY27">
        <f t="shared" si="3"/>
        <v>0</v>
      </c>
      <c r="AZ27">
        <f t="shared" si="3"/>
        <v>0</v>
      </c>
      <c r="BA27">
        <f t="shared" si="3"/>
        <v>0</v>
      </c>
      <c r="BB27">
        <f t="shared" si="3"/>
        <v>0</v>
      </c>
      <c r="BC27">
        <f t="shared" si="3"/>
        <v>0</v>
      </c>
      <c r="BD27">
        <f t="shared" si="3"/>
        <v>596618.5644210116</v>
      </c>
      <c r="BE27">
        <f t="shared" si="3"/>
        <v>446795.41034811008</v>
      </c>
      <c r="BF27">
        <f t="shared" si="3"/>
        <v>779752.99274411867</v>
      </c>
      <c r="BG27">
        <f t="shared" si="3"/>
        <v>543906.51431756408</v>
      </c>
    </row>
    <row r="28" spans="1:59" x14ac:dyDescent="0.2">
      <c r="A28" s="1">
        <v>2258</v>
      </c>
      <c r="B28" t="s">
        <v>61</v>
      </c>
      <c r="C28">
        <f t="shared" si="4"/>
        <v>249820.07755093515</v>
      </c>
      <c r="D28">
        <f t="shared" si="3"/>
        <v>4436.2514928367455</v>
      </c>
      <c r="E28">
        <f t="shared" si="3"/>
        <v>0</v>
      </c>
      <c r="F28">
        <f t="shared" si="3"/>
        <v>0</v>
      </c>
      <c r="G28">
        <f t="shared" si="3"/>
        <v>0</v>
      </c>
      <c r="H28">
        <f t="shared" si="3"/>
        <v>0</v>
      </c>
      <c r="I28">
        <f t="shared" si="3"/>
        <v>0</v>
      </c>
      <c r="J28">
        <f t="shared" si="3"/>
        <v>0</v>
      </c>
      <c r="K28">
        <f t="shared" si="3"/>
        <v>0</v>
      </c>
      <c r="L28">
        <f t="shared" si="3"/>
        <v>0</v>
      </c>
      <c r="M28">
        <f t="shared" si="3"/>
        <v>0</v>
      </c>
      <c r="N28">
        <f t="shared" si="3"/>
        <v>0</v>
      </c>
      <c r="O28">
        <f t="shared" si="3"/>
        <v>0</v>
      </c>
      <c r="P28">
        <f t="shared" si="3"/>
        <v>0</v>
      </c>
      <c r="Q28">
        <f t="shared" si="3"/>
        <v>0</v>
      </c>
      <c r="R28">
        <f t="shared" si="3"/>
        <v>0</v>
      </c>
      <c r="S28">
        <f t="shared" si="3"/>
        <v>0</v>
      </c>
      <c r="T28">
        <f t="shared" si="3"/>
        <v>0</v>
      </c>
      <c r="U28">
        <f t="shared" si="3"/>
        <v>0</v>
      </c>
      <c r="V28">
        <f t="shared" si="3"/>
        <v>0</v>
      </c>
      <c r="W28">
        <f t="shared" si="3"/>
        <v>0</v>
      </c>
      <c r="X28">
        <f t="shared" si="3"/>
        <v>0</v>
      </c>
      <c r="Y28">
        <f t="shared" si="3"/>
        <v>0</v>
      </c>
      <c r="Z28">
        <f t="shared" si="3"/>
        <v>0</v>
      </c>
      <c r="AA28">
        <f t="shared" si="3"/>
        <v>0</v>
      </c>
      <c r="AB28">
        <f t="shared" si="3"/>
        <v>0</v>
      </c>
      <c r="AC28">
        <f t="shared" si="3"/>
        <v>0</v>
      </c>
      <c r="AD28">
        <f t="shared" si="3"/>
        <v>0</v>
      </c>
      <c r="AE28">
        <f t="shared" si="3"/>
        <v>0</v>
      </c>
      <c r="AF28">
        <f t="shared" si="3"/>
        <v>0</v>
      </c>
      <c r="AG28">
        <f t="shared" si="3"/>
        <v>0</v>
      </c>
      <c r="AH28">
        <f t="shared" si="3"/>
        <v>0</v>
      </c>
      <c r="AI28">
        <f t="shared" si="3"/>
        <v>0</v>
      </c>
      <c r="AJ28">
        <f t="shared" si="3"/>
        <v>0</v>
      </c>
      <c r="AK28">
        <f t="shared" si="3"/>
        <v>0</v>
      </c>
      <c r="AL28">
        <f t="shared" si="3"/>
        <v>0</v>
      </c>
      <c r="AM28">
        <f t="shared" si="3"/>
        <v>0</v>
      </c>
      <c r="AN28">
        <f t="shared" si="3"/>
        <v>0</v>
      </c>
      <c r="AO28">
        <f t="shared" si="3"/>
        <v>0</v>
      </c>
      <c r="AP28">
        <f t="shared" si="3"/>
        <v>0</v>
      </c>
      <c r="AQ28">
        <f t="shared" si="3"/>
        <v>0</v>
      </c>
      <c r="AR28">
        <f t="shared" si="3"/>
        <v>0</v>
      </c>
      <c r="AS28">
        <f t="shared" si="3"/>
        <v>0</v>
      </c>
      <c r="AT28">
        <f t="shared" si="3"/>
        <v>0</v>
      </c>
      <c r="AU28">
        <f t="shared" si="3"/>
        <v>0</v>
      </c>
      <c r="AV28">
        <f t="shared" si="3"/>
        <v>0</v>
      </c>
      <c r="AW28">
        <f t="shared" si="3"/>
        <v>0</v>
      </c>
      <c r="AX28">
        <f t="shared" si="3"/>
        <v>0</v>
      </c>
      <c r="AY28">
        <f t="shared" si="3"/>
        <v>0</v>
      </c>
      <c r="AZ28">
        <f t="shared" si="3"/>
        <v>0</v>
      </c>
      <c r="BA28">
        <f t="shared" si="3"/>
        <v>0</v>
      </c>
      <c r="BB28">
        <f t="shared" si="3"/>
        <v>0</v>
      </c>
      <c r="BC28">
        <f t="shared" si="3"/>
        <v>0</v>
      </c>
      <c r="BD28">
        <f t="shared" si="3"/>
        <v>21493.865677641166</v>
      </c>
      <c r="BE28">
        <f t="shared" si="3"/>
        <v>20821.101758549088</v>
      </c>
      <c r="BF28">
        <f t="shared" si="3"/>
        <v>5646.1709667257801</v>
      </c>
      <c r="BG28">
        <f t="shared" si="3"/>
        <v>5875.9039811338389</v>
      </c>
    </row>
    <row r="29" spans="1:59" x14ac:dyDescent="0.2">
      <c r="A29" s="1">
        <v>2557</v>
      </c>
      <c r="B29" t="s">
        <v>62</v>
      </c>
      <c r="C29">
        <f t="shared" si="4"/>
        <v>0</v>
      </c>
      <c r="D29">
        <f t="shared" si="3"/>
        <v>5277.2081157045532</v>
      </c>
      <c r="E29">
        <f t="shared" si="3"/>
        <v>958951.61607342516</v>
      </c>
      <c r="F29">
        <f t="shared" si="3"/>
        <v>959824.06588324532</v>
      </c>
      <c r="G29">
        <f t="shared" si="3"/>
        <v>807480.71095766046</v>
      </c>
      <c r="H29">
        <f t="shared" si="3"/>
        <v>2107154.4414575687</v>
      </c>
      <c r="I29">
        <f t="shared" si="3"/>
        <v>2142585.9804441947</v>
      </c>
      <c r="J29">
        <f t="shared" si="3"/>
        <v>1985478.4001851445</v>
      </c>
      <c r="K29">
        <f t="shared" si="3"/>
        <v>653345.59120341553</v>
      </c>
      <c r="L29">
        <f t="shared" si="3"/>
        <v>629461.38732700644</v>
      </c>
      <c r="M29">
        <f t="shared" si="3"/>
        <v>447155.52548543119</v>
      </c>
      <c r="N29">
        <f t="shared" si="3"/>
        <v>864514.38321066054</v>
      </c>
      <c r="O29">
        <f t="shared" si="3"/>
        <v>693543.15147746075</v>
      </c>
      <c r="P29">
        <f t="shared" si="3"/>
        <v>835316.17135891912</v>
      </c>
      <c r="Q29">
        <f t="shared" si="3"/>
        <v>1109669.0458039134</v>
      </c>
      <c r="R29">
        <f t="shared" si="3"/>
        <v>882906.12050082674</v>
      </c>
      <c r="S29">
        <f t="shared" si="3"/>
        <v>854210.82799303031</v>
      </c>
      <c r="T29">
        <f t="shared" si="3"/>
        <v>2188946.5705173686</v>
      </c>
      <c r="U29">
        <f t="shared" si="3"/>
        <v>2422485.3947075061</v>
      </c>
      <c r="V29">
        <f t="shared" si="3"/>
        <v>2023307.3728689465</v>
      </c>
      <c r="W29">
        <f t="shared" si="3"/>
        <v>2476428.5925169517</v>
      </c>
      <c r="X29">
        <f t="shared" si="3"/>
        <v>2181085.5763811981</v>
      </c>
      <c r="Y29">
        <f t="shared" si="3"/>
        <v>2978779.3897086717</v>
      </c>
      <c r="Z29">
        <f t="shared" si="3"/>
        <v>3685204.4076836165</v>
      </c>
      <c r="AA29">
        <f t="shared" si="3"/>
        <v>4084140.8827133719</v>
      </c>
      <c r="AB29">
        <f t="shared" si="3"/>
        <v>3652350.5603034524</v>
      </c>
      <c r="AC29">
        <f t="shared" si="3"/>
        <v>2432367.1436144649</v>
      </c>
      <c r="AD29">
        <f t="shared" si="3"/>
        <v>1407329.2911712127</v>
      </c>
      <c r="AE29">
        <f t="shared" si="3"/>
        <v>1426160.8610407531</v>
      </c>
      <c r="AF29">
        <f t="shared" si="3"/>
        <v>776768.33043830632</v>
      </c>
      <c r="AG29">
        <f t="shared" si="3"/>
        <v>1370214.1427385309</v>
      </c>
      <c r="AH29">
        <f t="shared" si="3"/>
        <v>1371403.8486027527</v>
      </c>
      <c r="AI29">
        <f t="shared" si="3"/>
        <v>4242409.3273481959</v>
      </c>
      <c r="AJ29">
        <f t="shared" si="3"/>
        <v>4854333.3950336026</v>
      </c>
      <c r="AK29">
        <f t="shared" si="3"/>
        <v>4734782.6041626977</v>
      </c>
      <c r="AL29">
        <f t="shared" si="3"/>
        <v>1330045.4233158999</v>
      </c>
      <c r="AM29">
        <f t="shared" si="3"/>
        <v>1528120.2650897931</v>
      </c>
      <c r="AN29">
        <f t="shared" si="3"/>
        <v>1993005.982644229</v>
      </c>
      <c r="AO29">
        <f t="shared" si="3"/>
        <v>1511978.1481319431</v>
      </c>
      <c r="AP29">
        <f t="shared" si="3"/>
        <v>2200951.7590608862</v>
      </c>
      <c r="AQ29">
        <f t="shared" si="3"/>
        <v>1439734.295306152</v>
      </c>
      <c r="AR29">
        <f t="shared" si="3"/>
        <v>1429475.8064769404</v>
      </c>
      <c r="AS29">
        <f t="shared" si="3"/>
        <v>1724233.8990269683</v>
      </c>
      <c r="AT29">
        <f t="shared" si="3"/>
        <v>1267964.5230733214</v>
      </c>
      <c r="AU29">
        <f t="shared" si="3"/>
        <v>0</v>
      </c>
      <c r="AV29">
        <f t="shared" si="3"/>
        <v>0</v>
      </c>
      <c r="AW29">
        <f t="shared" si="3"/>
        <v>0</v>
      </c>
      <c r="AX29">
        <f t="shared" ref="D29:BG31" si="5">AX19*20.34</f>
        <v>0</v>
      </c>
      <c r="AY29">
        <f t="shared" si="5"/>
        <v>0</v>
      </c>
      <c r="AZ29">
        <f t="shared" si="5"/>
        <v>0</v>
      </c>
      <c r="BA29">
        <f t="shared" si="5"/>
        <v>0</v>
      </c>
      <c r="BB29">
        <f t="shared" si="5"/>
        <v>0</v>
      </c>
      <c r="BC29">
        <f t="shared" si="5"/>
        <v>0</v>
      </c>
      <c r="BD29">
        <f t="shared" si="5"/>
        <v>0</v>
      </c>
      <c r="BE29">
        <f t="shared" si="5"/>
        <v>0</v>
      </c>
      <c r="BF29">
        <f t="shared" si="5"/>
        <v>0</v>
      </c>
      <c r="BG29">
        <f t="shared" si="5"/>
        <v>0</v>
      </c>
    </row>
    <row r="30" spans="1:59" x14ac:dyDescent="0.2">
      <c r="A30" s="1">
        <v>3387</v>
      </c>
      <c r="B30" t="s">
        <v>63</v>
      </c>
      <c r="C30">
        <f t="shared" si="4"/>
        <v>2147394.4454109515</v>
      </c>
      <c r="D30">
        <f t="shared" si="5"/>
        <v>65524.514433020318</v>
      </c>
      <c r="E30">
        <f t="shared" si="5"/>
        <v>0</v>
      </c>
      <c r="F30">
        <f t="shared" si="5"/>
        <v>0</v>
      </c>
      <c r="G30">
        <f t="shared" si="5"/>
        <v>0</v>
      </c>
      <c r="H30">
        <f t="shared" si="5"/>
        <v>0</v>
      </c>
      <c r="I30">
        <f t="shared" si="5"/>
        <v>0</v>
      </c>
      <c r="J30">
        <f t="shared" si="5"/>
        <v>0</v>
      </c>
      <c r="K30">
        <f t="shared" si="5"/>
        <v>0</v>
      </c>
      <c r="L30">
        <f t="shared" si="5"/>
        <v>0</v>
      </c>
      <c r="M30">
        <f t="shared" si="5"/>
        <v>0</v>
      </c>
      <c r="N30">
        <f t="shared" si="5"/>
        <v>0</v>
      </c>
      <c r="O30">
        <f t="shared" si="5"/>
        <v>0</v>
      </c>
      <c r="P30">
        <f t="shared" si="5"/>
        <v>0</v>
      </c>
      <c r="Q30">
        <f t="shared" si="5"/>
        <v>0</v>
      </c>
      <c r="R30">
        <f t="shared" si="5"/>
        <v>0</v>
      </c>
      <c r="S30">
        <f t="shared" si="5"/>
        <v>0</v>
      </c>
      <c r="T30">
        <f t="shared" si="5"/>
        <v>0</v>
      </c>
      <c r="U30">
        <f t="shared" si="5"/>
        <v>0</v>
      </c>
      <c r="V30">
        <f t="shared" si="5"/>
        <v>0</v>
      </c>
      <c r="W30">
        <f t="shared" si="5"/>
        <v>0</v>
      </c>
      <c r="X30">
        <f t="shared" si="5"/>
        <v>0</v>
      </c>
      <c r="Y30">
        <f t="shared" si="5"/>
        <v>0</v>
      </c>
      <c r="Z30">
        <f t="shared" si="5"/>
        <v>0</v>
      </c>
      <c r="AA30">
        <f t="shared" si="5"/>
        <v>0</v>
      </c>
      <c r="AB30">
        <f t="shared" si="5"/>
        <v>0</v>
      </c>
      <c r="AC30">
        <f t="shared" si="5"/>
        <v>0</v>
      </c>
      <c r="AD30">
        <f t="shared" si="5"/>
        <v>0</v>
      </c>
      <c r="AE30">
        <f t="shared" si="5"/>
        <v>0</v>
      </c>
      <c r="AF30">
        <f t="shared" si="5"/>
        <v>0</v>
      </c>
      <c r="AG30">
        <f t="shared" si="5"/>
        <v>0</v>
      </c>
      <c r="AH30">
        <f t="shared" si="5"/>
        <v>0</v>
      </c>
      <c r="AI30">
        <f t="shared" si="5"/>
        <v>0</v>
      </c>
      <c r="AJ30">
        <f t="shared" si="5"/>
        <v>0</v>
      </c>
      <c r="AK30">
        <f t="shared" si="5"/>
        <v>0</v>
      </c>
      <c r="AL30">
        <f t="shared" si="5"/>
        <v>0</v>
      </c>
      <c r="AM30">
        <f t="shared" si="5"/>
        <v>0</v>
      </c>
      <c r="AN30">
        <f t="shared" si="5"/>
        <v>0</v>
      </c>
      <c r="AO30">
        <f t="shared" si="5"/>
        <v>0</v>
      </c>
      <c r="AP30">
        <f t="shared" si="5"/>
        <v>0</v>
      </c>
      <c r="AQ30">
        <f t="shared" si="5"/>
        <v>0</v>
      </c>
      <c r="AR30">
        <f t="shared" si="5"/>
        <v>0</v>
      </c>
      <c r="AS30">
        <f t="shared" si="5"/>
        <v>0</v>
      </c>
      <c r="AT30">
        <f t="shared" si="5"/>
        <v>0</v>
      </c>
      <c r="AU30">
        <f t="shared" si="5"/>
        <v>0</v>
      </c>
      <c r="AV30">
        <f t="shared" si="5"/>
        <v>0</v>
      </c>
      <c r="AW30">
        <f t="shared" si="5"/>
        <v>0</v>
      </c>
      <c r="AX30">
        <f t="shared" si="5"/>
        <v>0</v>
      </c>
      <c r="AY30">
        <f t="shared" si="5"/>
        <v>0</v>
      </c>
      <c r="AZ30">
        <f t="shared" si="5"/>
        <v>0</v>
      </c>
      <c r="BA30">
        <f t="shared" si="5"/>
        <v>0</v>
      </c>
      <c r="BB30">
        <f t="shared" si="5"/>
        <v>0</v>
      </c>
      <c r="BC30">
        <f t="shared" si="5"/>
        <v>0</v>
      </c>
      <c r="BD30">
        <f t="shared" si="5"/>
        <v>76205.903240679472</v>
      </c>
      <c r="BE30">
        <f t="shared" si="5"/>
        <v>186114.64558548405</v>
      </c>
      <c r="BF30">
        <f t="shared" si="5"/>
        <v>1326078.0974784768</v>
      </c>
      <c r="BG30">
        <f t="shared" si="5"/>
        <v>1414874.6543926725</v>
      </c>
    </row>
    <row r="31" spans="1:59" x14ac:dyDescent="0.2">
      <c r="A31" s="1">
        <v>3855</v>
      </c>
      <c r="B31" t="s">
        <v>64</v>
      </c>
      <c r="C31">
        <f t="shared" si="4"/>
        <v>576476.85377447633</v>
      </c>
      <c r="D31">
        <f t="shared" si="5"/>
        <v>297368.44212018262</v>
      </c>
      <c r="E31">
        <f t="shared" si="5"/>
        <v>0</v>
      </c>
      <c r="F31">
        <f t="shared" si="5"/>
        <v>0</v>
      </c>
      <c r="G31">
        <f t="shared" si="5"/>
        <v>0</v>
      </c>
      <c r="H31">
        <f t="shared" si="5"/>
        <v>0</v>
      </c>
      <c r="I31">
        <f t="shared" si="5"/>
        <v>0</v>
      </c>
      <c r="J31">
        <f t="shared" si="5"/>
        <v>0</v>
      </c>
      <c r="K31">
        <f t="shared" si="5"/>
        <v>0</v>
      </c>
      <c r="L31">
        <f t="shared" si="5"/>
        <v>0</v>
      </c>
      <c r="M31">
        <f t="shared" si="5"/>
        <v>0</v>
      </c>
      <c r="N31">
        <f t="shared" si="5"/>
        <v>0</v>
      </c>
      <c r="O31">
        <f t="shared" si="5"/>
        <v>0</v>
      </c>
      <c r="P31">
        <f t="shared" si="5"/>
        <v>0</v>
      </c>
      <c r="Q31">
        <f t="shared" si="5"/>
        <v>0</v>
      </c>
      <c r="R31">
        <f t="shared" si="5"/>
        <v>0</v>
      </c>
      <c r="S31">
        <f t="shared" si="5"/>
        <v>0</v>
      </c>
      <c r="T31">
        <f t="shared" si="5"/>
        <v>0</v>
      </c>
      <c r="U31">
        <f t="shared" si="5"/>
        <v>0</v>
      </c>
      <c r="V31">
        <f t="shared" si="5"/>
        <v>0</v>
      </c>
      <c r="W31">
        <f t="shared" si="5"/>
        <v>0</v>
      </c>
      <c r="X31">
        <f t="shared" si="5"/>
        <v>0</v>
      </c>
      <c r="Y31">
        <f t="shared" si="5"/>
        <v>0</v>
      </c>
      <c r="Z31">
        <f t="shared" si="5"/>
        <v>0</v>
      </c>
      <c r="AA31">
        <f t="shared" si="5"/>
        <v>0</v>
      </c>
      <c r="AB31">
        <f t="shared" si="5"/>
        <v>0</v>
      </c>
      <c r="AC31">
        <f t="shared" si="5"/>
        <v>0</v>
      </c>
      <c r="AD31">
        <f t="shared" si="5"/>
        <v>0</v>
      </c>
      <c r="AE31">
        <f t="shared" si="5"/>
        <v>0</v>
      </c>
      <c r="AF31">
        <f t="shared" si="5"/>
        <v>0</v>
      </c>
      <c r="AG31">
        <f t="shared" si="5"/>
        <v>0</v>
      </c>
      <c r="AH31">
        <f t="shared" si="5"/>
        <v>0</v>
      </c>
      <c r="AI31">
        <f t="shared" si="5"/>
        <v>0</v>
      </c>
      <c r="AJ31">
        <f t="shared" si="5"/>
        <v>0</v>
      </c>
      <c r="AK31">
        <f t="shared" si="5"/>
        <v>0</v>
      </c>
      <c r="AL31">
        <f t="shared" si="5"/>
        <v>0</v>
      </c>
      <c r="AM31">
        <f t="shared" si="5"/>
        <v>0</v>
      </c>
      <c r="AN31">
        <f t="shared" si="5"/>
        <v>0</v>
      </c>
      <c r="AO31">
        <f t="shared" si="5"/>
        <v>0</v>
      </c>
      <c r="AP31">
        <f t="shared" si="5"/>
        <v>0</v>
      </c>
      <c r="AQ31">
        <f t="shared" si="5"/>
        <v>0</v>
      </c>
      <c r="AR31">
        <f t="shared" si="5"/>
        <v>0</v>
      </c>
      <c r="AS31">
        <f t="shared" si="5"/>
        <v>0</v>
      </c>
      <c r="AT31">
        <f t="shared" si="5"/>
        <v>0</v>
      </c>
      <c r="AU31">
        <f t="shared" si="5"/>
        <v>0</v>
      </c>
      <c r="AV31">
        <f t="shared" si="5"/>
        <v>0</v>
      </c>
      <c r="AW31">
        <f t="shared" si="5"/>
        <v>0</v>
      </c>
      <c r="AX31">
        <f t="shared" si="5"/>
        <v>0</v>
      </c>
      <c r="AY31">
        <f t="shared" si="5"/>
        <v>0</v>
      </c>
      <c r="AZ31">
        <f t="shared" si="5"/>
        <v>0</v>
      </c>
      <c r="BA31">
        <f t="shared" si="5"/>
        <v>0</v>
      </c>
      <c r="BB31">
        <f t="shared" si="5"/>
        <v>0</v>
      </c>
      <c r="BC31">
        <f t="shared" si="5"/>
        <v>0</v>
      </c>
      <c r="BD31">
        <f t="shared" si="5"/>
        <v>64507.45246373766</v>
      </c>
      <c r="BE31">
        <f t="shared" si="5"/>
        <v>83908.214348712936</v>
      </c>
      <c r="BF31">
        <f t="shared" si="5"/>
        <v>119133.44203622997</v>
      </c>
      <c r="BG31">
        <f t="shared" si="5"/>
        <v>105434.13760257643</v>
      </c>
    </row>
    <row r="33" spans="2:59" s="2" customFormat="1" x14ac:dyDescent="0.2">
      <c r="B33" s="2" t="s">
        <v>66</v>
      </c>
      <c r="C33" s="2">
        <f>SUM(C25:C31)/1000000</f>
        <v>5.296512898860291</v>
      </c>
      <c r="D33" s="2">
        <f>SUM(D25:D31)/1000000</f>
        <v>0.89940475999523439</v>
      </c>
      <c r="E33" s="2">
        <f>SUM(E25:E31)/1000000</f>
        <v>1.0278727113101764</v>
      </c>
      <c r="F33" s="2">
        <f t="shared" ref="F33:BG33" si="6">SUM(F25:F31)/1000000</f>
        <v>1.0299693657674367</v>
      </c>
      <c r="G33" s="2">
        <f t="shared" si="6"/>
        <v>0.88299490824718518</v>
      </c>
      <c r="H33" s="2">
        <f t="shared" si="6"/>
        <v>2.2760990427504577</v>
      </c>
      <c r="I33" s="2">
        <f t="shared" si="6"/>
        <v>2.3027766337843723</v>
      </c>
      <c r="J33" s="2">
        <f t="shared" si="6"/>
        <v>2.1339437804031034</v>
      </c>
      <c r="K33" s="2">
        <f t="shared" si="6"/>
        <v>0.6893071574976668</v>
      </c>
      <c r="L33" s="2">
        <f t="shared" si="6"/>
        <v>0.66695080483979996</v>
      </c>
      <c r="M33" s="2">
        <f t="shared" si="6"/>
        <v>0.47070257225200585</v>
      </c>
      <c r="N33" s="2">
        <f t="shared" si="6"/>
        <v>0.90192184766723704</v>
      </c>
      <c r="O33" s="2">
        <f t="shared" si="6"/>
        <v>0.72272984791515527</v>
      </c>
      <c r="P33" s="2">
        <f t="shared" si="6"/>
        <v>0.86773371087661211</v>
      </c>
      <c r="Q33" s="2">
        <f t="shared" si="6"/>
        <v>1.1600984848162623</v>
      </c>
      <c r="R33" s="2">
        <f t="shared" si="6"/>
        <v>0.93141604671355505</v>
      </c>
      <c r="S33" s="2">
        <f t="shared" si="6"/>
        <v>0.90340111029673575</v>
      </c>
      <c r="T33" s="2">
        <f t="shared" si="6"/>
        <v>2.2893342586257566</v>
      </c>
      <c r="U33" s="2">
        <f t="shared" si="6"/>
        <v>2.5167862471396711</v>
      </c>
      <c r="V33" s="2">
        <f t="shared" si="6"/>
        <v>2.1248031248642483</v>
      </c>
      <c r="W33" s="2">
        <f t="shared" si="6"/>
        <v>2.5754344452091957</v>
      </c>
      <c r="X33" s="2">
        <f t="shared" si="6"/>
        <v>2.2858483167139889</v>
      </c>
      <c r="Y33" s="2">
        <f t="shared" si="6"/>
        <v>3.1016400546475866</v>
      </c>
      <c r="Z33" s="2">
        <f t="shared" si="6"/>
        <v>3.9059365739143002</v>
      </c>
      <c r="AA33" s="2">
        <f t="shared" si="6"/>
        <v>4.329993853674976</v>
      </c>
      <c r="AB33" s="2">
        <f t="shared" si="6"/>
        <v>3.8751535372506192</v>
      </c>
      <c r="AC33" s="2">
        <f t="shared" si="6"/>
        <v>2.5589709304821864</v>
      </c>
      <c r="AD33" s="2">
        <f t="shared" si="6"/>
        <v>1.471866057620334</v>
      </c>
      <c r="AE33" s="2">
        <f t="shared" si="6"/>
        <v>1.4986410967463444</v>
      </c>
      <c r="AF33" s="2">
        <f t="shared" si="6"/>
        <v>0.79330927691501707</v>
      </c>
      <c r="AG33" s="2">
        <f t="shared" si="6"/>
        <v>1.4089486168208001</v>
      </c>
      <c r="AH33" s="2">
        <f t="shared" si="6"/>
        <v>1.4145230556220139</v>
      </c>
      <c r="AI33" s="2">
        <f t="shared" si="6"/>
        <v>4.3337703754103352</v>
      </c>
      <c r="AJ33" s="2">
        <f t="shared" si="6"/>
        <v>4.9714454944771393</v>
      </c>
      <c r="AK33" s="2">
        <f t="shared" si="6"/>
        <v>4.8406883054383565</v>
      </c>
      <c r="AL33" s="2">
        <f t="shared" si="6"/>
        <v>1.3758363496149659</v>
      </c>
      <c r="AM33" s="2">
        <f t="shared" si="6"/>
        <v>1.5732344721802876</v>
      </c>
      <c r="AN33" s="2">
        <f t="shared" si="6"/>
        <v>2.0462829278647221</v>
      </c>
      <c r="AO33" s="2">
        <f t="shared" si="6"/>
        <v>1.5768403831314102</v>
      </c>
      <c r="AP33" s="2">
        <f t="shared" si="6"/>
        <v>2.3105700807656917</v>
      </c>
      <c r="AQ33" s="2">
        <f t="shared" si="6"/>
        <v>1.5067509105961365</v>
      </c>
      <c r="AR33" s="2">
        <f t="shared" si="6"/>
        <v>1.4897379999697071</v>
      </c>
      <c r="AS33" s="2">
        <f t="shared" si="6"/>
        <v>1.7937356165898906</v>
      </c>
      <c r="AT33" s="2">
        <f t="shared" si="6"/>
        <v>1.3254454032294181</v>
      </c>
      <c r="AU33" s="2">
        <f t="shared" si="6"/>
        <v>0</v>
      </c>
      <c r="AV33" s="2">
        <f t="shared" si="6"/>
        <v>0</v>
      </c>
      <c r="AW33" s="2">
        <f t="shared" si="6"/>
        <v>0</v>
      </c>
      <c r="AX33" s="2">
        <f t="shared" si="6"/>
        <v>0</v>
      </c>
      <c r="AY33" s="2">
        <f t="shared" si="6"/>
        <v>0</v>
      </c>
      <c r="AZ33" s="2">
        <f t="shared" si="6"/>
        <v>0</v>
      </c>
      <c r="BA33" s="2">
        <f t="shared" si="6"/>
        <v>0</v>
      </c>
      <c r="BB33" s="2">
        <f t="shared" si="6"/>
        <v>0</v>
      </c>
      <c r="BC33" s="2">
        <f t="shared" si="6"/>
        <v>0</v>
      </c>
      <c r="BD33" s="2">
        <f t="shared" si="6"/>
        <v>1.0232296871222231</v>
      </c>
      <c r="BE33" s="2">
        <f t="shared" si="6"/>
        <v>1.0333216786502921</v>
      </c>
      <c r="BF33" s="2">
        <f t="shared" si="6"/>
        <v>2.4664556269819577</v>
      </c>
      <c r="BG33" s="2">
        <f t="shared" si="6"/>
        <v>2.3203115781625523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2021-12-31T13:48:36Z</dcterms:created>
  <dcterms:modified xsi:type="dcterms:W3CDTF">2021-12-31T06:44:18Z</dcterms:modified>
</cp:coreProperties>
</file>