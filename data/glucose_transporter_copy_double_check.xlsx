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"/>
    </mc:Choice>
  </mc:AlternateContent>
  <xr:revisionPtr revIDLastSave="0" documentId="13_ncr:1_{F9705569-9A6A-0543-95C5-31A13D10E2AE}" xr6:coauthVersionLast="47" xr6:coauthVersionMax="47" xr10:uidLastSave="{00000000-0000-0000-0000-000000000000}"/>
  <bookViews>
    <workbookView xWindow="31680" yWindow="2600" windowWidth="26880" windowHeight="16300" activeTab="1" xr2:uid="{00000000-000D-0000-FFFF-FFFF00000000}"/>
  </bookViews>
  <sheets>
    <sheet name="Sheet1" sheetId="1" r:id="rId1"/>
    <sheet name="Sheet2" sheetId="2" r:id="rId2"/>
  </sheets>
  <definedNames>
    <definedName name="_xlchart.v1.0" hidden="1">Sheet2!$B$2:$B$16394</definedName>
    <definedName name="_xlchart.v1.1" hidden="1">Sheet2!$C$1</definedName>
    <definedName name="_xlchart.v1.10" hidden="1">Sheet2!$C$1</definedName>
    <definedName name="_xlchart.v1.11" hidden="1">Sheet2!$C$2:$C$16394</definedName>
    <definedName name="_xlchart.v1.12" hidden="1">Sheet2!$B$2:$B$16394</definedName>
    <definedName name="_xlchart.v1.13" hidden="1">Sheet2!$C$1</definedName>
    <definedName name="_xlchart.v1.14" hidden="1">Sheet2!$C$2:$C$16394</definedName>
    <definedName name="_xlchart.v1.2" hidden="1">Sheet2!$C$2:$C$16394</definedName>
    <definedName name="_xlchart.v1.3" hidden="1">Sheet2!$B$2:$B$16394</definedName>
    <definedName name="_xlchart.v1.4" hidden="1">Sheet2!$C$1</definedName>
    <definedName name="_xlchart.v1.5" hidden="1">Sheet2!$C$2:$C$16394</definedName>
    <definedName name="_xlchart.v1.6" hidden="1">Sheet2!$B$2:$B$16394</definedName>
    <definedName name="_xlchart.v1.7" hidden="1">Sheet2!$C$1</definedName>
    <definedName name="_xlchart.v1.8" hidden="1">Sheet2!$C$2:$C$16394</definedName>
    <definedName name="_xlchart.v1.9" hidden="1">Sheet2!$B$2:$B$16394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9" i="1" l="1"/>
  <c r="E39" i="1"/>
  <c r="F39" i="1"/>
  <c r="G39" i="1"/>
  <c r="H39" i="1"/>
  <c r="I39" i="1"/>
  <c r="J39" i="1"/>
  <c r="C39" i="1"/>
  <c r="J21" i="1"/>
  <c r="C21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C22" i="1"/>
  <c r="D22" i="1"/>
  <c r="E22" i="1"/>
  <c r="J22" i="1"/>
  <c r="C23" i="1"/>
  <c r="D23" i="1"/>
  <c r="E23" i="1"/>
  <c r="J23" i="1"/>
  <c r="C24" i="1"/>
  <c r="D24" i="1"/>
  <c r="E24" i="1"/>
  <c r="J24" i="1"/>
  <c r="C25" i="1"/>
  <c r="D25" i="1"/>
  <c r="E25" i="1"/>
  <c r="J25" i="1"/>
  <c r="C26" i="1"/>
  <c r="D26" i="1"/>
  <c r="E26" i="1"/>
  <c r="J26" i="1"/>
  <c r="C27" i="1"/>
  <c r="D27" i="1"/>
  <c r="E27" i="1"/>
  <c r="J27" i="1"/>
  <c r="C28" i="1"/>
  <c r="D28" i="1"/>
  <c r="E28" i="1"/>
  <c r="J28" i="1"/>
  <c r="C29" i="1"/>
  <c r="D29" i="1"/>
  <c r="E29" i="1"/>
  <c r="J29" i="1"/>
  <c r="C30" i="1"/>
  <c r="D30" i="1"/>
  <c r="E30" i="1"/>
  <c r="J30" i="1"/>
  <c r="C31" i="1"/>
  <c r="D31" i="1"/>
  <c r="E31" i="1"/>
  <c r="J31" i="1"/>
  <c r="C32" i="1"/>
  <c r="D32" i="1"/>
  <c r="E32" i="1"/>
  <c r="J32" i="1"/>
  <c r="C33" i="1"/>
  <c r="D33" i="1"/>
  <c r="E33" i="1"/>
  <c r="J33" i="1"/>
  <c r="C34" i="1"/>
  <c r="D34" i="1"/>
  <c r="E34" i="1"/>
  <c r="J34" i="1"/>
  <c r="C35" i="1"/>
  <c r="D35" i="1"/>
  <c r="E35" i="1"/>
  <c r="J35" i="1"/>
  <c r="C36" i="1"/>
  <c r="D36" i="1"/>
  <c r="E36" i="1"/>
  <c r="J36" i="1"/>
  <c r="E21" i="1"/>
  <c r="D21" i="1"/>
</calcChain>
</file>

<file path=xl/sharedStrings.xml><?xml version="1.0" encoding="utf-8"?>
<sst xmlns="http://schemas.openxmlformats.org/spreadsheetml/2006/main" count="109" uniqueCount="84">
  <si>
    <t>gene</t>
  </si>
  <si>
    <t xml:space="preserve">Chong et al. 2015 - Copy </t>
  </si>
  <si>
    <t xml:space="preserve">Ghaemmaghami et al. 2003 - Copy </t>
  </si>
  <si>
    <t>Kulak et al. 2014 - Copy</t>
  </si>
  <si>
    <t>Mean Copy number - Glucose</t>
  </si>
  <si>
    <t>Mean Copy number - Galactose</t>
  </si>
  <si>
    <t>Mean Copy number - Glycerol</t>
  </si>
  <si>
    <t>Mean molecules per cell_cell_system_2018</t>
  </si>
  <si>
    <t>Median molecules per cell_cell_system_2018</t>
  </si>
  <si>
    <t>section_area</t>
  </si>
  <si>
    <t>YDL245C</t>
  </si>
  <si>
    <t>YDR342C</t>
  </si>
  <si>
    <t>YDR343C</t>
  </si>
  <si>
    <t>YDR345C</t>
  </si>
  <si>
    <t>YEL069C</t>
  </si>
  <si>
    <t>YFL011W</t>
  </si>
  <si>
    <t>YHR092C</t>
  </si>
  <si>
    <t>YHR094C</t>
  </si>
  <si>
    <t>YHR096C</t>
  </si>
  <si>
    <t>YJL214W</t>
  </si>
  <si>
    <t>YJL219W</t>
  </si>
  <si>
    <t>YJR158W</t>
  </si>
  <si>
    <t>YLR081W</t>
  </si>
  <si>
    <t>YMR011W</t>
  </si>
  <si>
    <t>YNR072W</t>
  </si>
  <si>
    <t>YOL156W</t>
  </si>
  <si>
    <t>sum</t>
  </si>
  <si>
    <t>Area_occupy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</si>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</sst>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opLeftCell="A7" workbookViewId="0">
      <selection activeCell="I39" sqref="I39"/>
    </sheetView>
  </sheetViews>
  <sheetFormatPr baseColWidth="10" defaultColWidth="8.83203125" defaultRowHeight="15" x14ac:dyDescent="0.2"/>
  <cols>
    <col min="3" max="3" width="14.83203125" customWidth="1"/>
    <col min="8" max="8" width="16.33203125" customWidth="1"/>
    <col min="9" max="9" width="28.83203125" customWidth="1"/>
    <col min="10" max="10" width="27.5" customWidth="1"/>
    <col min="11" max="11" width="37.1640625" customWidth="1"/>
    <col min="12" max="12" width="18.6640625" customWidth="1"/>
    <col min="13" max="13" width="31" customWidth="1"/>
    <col min="14" max="14" width="21.5" customWidth="1"/>
    <col min="15" max="15" width="19.5" customWidth="1"/>
    <col min="16" max="16" width="24" customWidth="1"/>
    <col min="17" max="17" width="24.83203125" customWidth="1"/>
    <col min="18" max="18" width="41.6640625" customWidth="1"/>
    <col min="19" max="19" width="32.5" customWidth="1"/>
    <col min="20" max="20" width="19.1640625" customWidth="1"/>
  </cols>
  <sheetData>
    <row r="1" spans="1:1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1">
        <v>1199</v>
      </c>
      <c r="B2" t="s">
        <v>10</v>
      </c>
      <c r="I2">
        <v>1370.16806954871</v>
      </c>
      <c r="J2">
        <v>1370.16806954871</v>
      </c>
      <c r="K2">
        <v>20.471365367284282</v>
      </c>
    </row>
    <row r="3" spans="1:11" x14ac:dyDescent="0.2">
      <c r="A3" s="1">
        <v>1575</v>
      </c>
      <c r="B3" t="s">
        <v>11</v>
      </c>
      <c r="D3">
        <v>7351.96180144348</v>
      </c>
      <c r="E3">
        <v>6864.0379999999996</v>
      </c>
      <c r="F3">
        <v>3101</v>
      </c>
      <c r="G3">
        <v>25480</v>
      </c>
      <c r="H3">
        <v>28347</v>
      </c>
      <c r="I3">
        <v>8662.1253568567499</v>
      </c>
      <c r="J3">
        <v>6150</v>
      </c>
      <c r="K3">
        <v>20.408786284091391</v>
      </c>
    </row>
    <row r="4" spans="1:11" x14ac:dyDescent="0.2">
      <c r="A4" s="1">
        <v>1576</v>
      </c>
      <c r="B4" t="s">
        <v>12</v>
      </c>
      <c r="C4">
        <v>3239.2259353398949</v>
      </c>
      <c r="E4">
        <v>6864.0379999999996</v>
      </c>
      <c r="F4">
        <v>3101</v>
      </c>
      <c r="G4">
        <v>25480</v>
      </c>
      <c r="H4">
        <v>28347</v>
      </c>
      <c r="I4">
        <v>30402.6489253121</v>
      </c>
      <c r="J4">
        <v>25872.369855453999</v>
      </c>
      <c r="K4">
        <v>20.379608260018021</v>
      </c>
    </row>
    <row r="5" spans="1:11" x14ac:dyDescent="0.2">
      <c r="A5" s="1">
        <v>1578</v>
      </c>
      <c r="B5" t="s">
        <v>13</v>
      </c>
      <c r="C5">
        <v>2975.376822640153</v>
      </c>
      <c r="D5">
        <v>37205.716539786503</v>
      </c>
      <c r="E5">
        <v>3602.2840000000001</v>
      </c>
      <c r="F5">
        <v>6046</v>
      </c>
      <c r="G5">
        <v>528</v>
      </c>
      <c r="H5">
        <v>776</v>
      </c>
      <c r="I5">
        <v>27528.043232195399</v>
      </c>
      <c r="J5">
        <v>19444.6222006557</v>
      </c>
      <c r="K5">
        <v>20.226889389984901</v>
      </c>
    </row>
    <row r="6" spans="1:11" x14ac:dyDescent="0.2">
      <c r="A6" s="1">
        <v>1875</v>
      </c>
      <c r="B6" t="s">
        <v>14</v>
      </c>
      <c r="I6">
        <v>1365.5946534673601</v>
      </c>
      <c r="J6">
        <v>1365.5946534673601</v>
      </c>
      <c r="K6">
        <v>19.798600392143889</v>
      </c>
    </row>
    <row r="7" spans="1:11" x14ac:dyDescent="0.2">
      <c r="A7" s="1">
        <v>2138</v>
      </c>
      <c r="B7" t="s">
        <v>15</v>
      </c>
      <c r="I7">
        <v>2622</v>
      </c>
      <c r="J7">
        <v>2622</v>
      </c>
      <c r="K7">
        <v>20.483079753112669</v>
      </c>
    </row>
    <row r="8" spans="1:11" x14ac:dyDescent="0.2">
      <c r="A8" s="1">
        <v>3037</v>
      </c>
      <c r="B8" t="s">
        <v>16</v>
      </c>
      <c r="E8">
        <v>1106.306</v>
      </c>
      <c r="F8">
        <v>711</v>
      </c>
      <c r="G8">
        <v>428</v>
      </c>
      <c r="H8">
        <v>5116</v>
      </c>
      <c r="I8">
        <v>2755.0989886297102</v>
      </c>
      <c r="J8">
        <v>2293.62309819753</v>
      </c>
      <c r="K8">
        <v>19.676032217654779</v>
      </c>
    </row>
    <row r="9" spans="1:11" x14ac:dyDescent="0.2">
      <c r="A9" s="1">
        <v>3039</v>
      </c>
      <c r="B9" t="s">
        <v>17</v>
      </c>
      <c r="D9">
        <v>23334.343129985598</v>
      </c>
      <c r="E9">
        <v>780.44269999999995</v>
      </c>
      <c r="F9">
        <v>986</v>
      </c>
      <c r="G9">
        <v>77</v>
      </c>
      <c r="H9">
        <v>107</v>
      </c>
      <c r="I9">
        <v>8180.2874002013295</v>
      </c>
      <c r="J9">
        <v>6830.1300860600304</v>
      </c>
      <c r="K9">
        <v>20.568454771795849</v>
      </c>
    </row>
    <row r="10" spans="1:11" x14ac:dyDescent="0.2">
      <c r="A10" s="1">
        <v>3041</v>
      </c>
      <c r="B10" t="s">
        <v>18</v>
      </c>
      <c r="E10">
        <v>36.662669999999999</v>
      </c>
      <c r="F10">
        <v>711</v>
      </c>
      <c r="G10">
        <v>428</v>
      </c>
      <c r="H10">
        <v>5116</v>
      </c>
      <c r="I10">
        <v>1959.44524286864</v>
      </c>
      <c r="J10">
        <v>1060.26882500442</v>
      </c>
      <c r="K10">
        <v>20.532264185177119</v>
      </c>
    </row>
    <row r="11" spans="1:11" x14ac:dyDescent="0.2">
      <c r="A11" s="1">
        <v>3660</v>
      </c>
      <c r="B11" t="s">
        <v>19</v>
      </c>
      <c r="D11">
        <v>622.84300596835601</v>
      </c>
      <c r="I11">
        <v>623</v>
      </c>
      <c r="J11">
        <v>623</v>
      </c>
      <c r="K11">
        <v>20.34732294196407</v>
      </c>
    </row>
    <row r="12" spans="1:11" x14ac:dyDescent="0.2">
      <c r="A12" s="1">
        <v>3665</v>
      </c>
      <c r="B12" t="s">
        <v>20</v>
      </c>
      <c r="K12">
        <v>20.577424230184391</v>
      </c>
    </row>
    <row r="13" spans="1:11" x14ac:dyDescent="0.2">
      <c r="A13" s="1">
        <v>3835</v>
      </c>
      <c r="B13" t="s">
        <v>21</v>
      </c>
      <c r="K13">
        <v>20.395820021567701</v>
      </c>
    </row>
    <row r="14" spans="1:11" x14ac:dyDescent="0.2">
      <c r="A14" s="1">
        <v>4343</v>
      </c>
      <c r="B14" t="s">
        <v>22</v>
      </c>
      <c r="E14">
        <v>325.35270000000003</v>
      </c>
      <c r="F14">
        <v>325</v>
      </c>
      <c r="G14">
        <v>2416</v>
      </c>
      <c r="H14">
        <v>641</v>
      </c>
      <c r="I14">
        <v>1662.0116994789</v>
      </c>
      <c r="J14">
        <v>1186.0834325200699</v>
      </c>
      <c r="K14">
        <v>20.247325987635492</v>
      </c>
    </row>
    <row r="15" spans="1:11" x14ac:dyDescent="0.2">
      <c r="A15" s="1">
        <v>4937</v>
      </c>
      <c r="B15" t="s">
        <v>23</v>
      </c>
      <c r="C15">
        <v>715.67323291412958</v>
      </c>
      <c r="E15">
        <v>1890.068</v>
      </c>
      <c r="F15">
        <v>1168</v>
      </c>
      <c r="G15">
        <v>339</v>
      </c>
      <c r="H15">
        <v>350</v>
      </c>
      <c r="I15">
        <v>8350.6658423950394</v>
      </c>
      <c r="J15">
        <v>3930.60174628711</v>
      </c>
      <c r="K15">
        <v>20.312095952112848</v>
      </c>
    </row>
    <row r="16" spans="1:11" x14ac:dyDescent="0.2">
      <c r="A16" s="1">
        <v>5717</v>
      </c>
      <c r="B16" t="s">
        <v>24</v>
      </c>
      <c r="I16">
        <v>1139.2923725355299</v>
      </c>
      <c r="J16">
        <v>1139.2923725355299</v>
      </c>
      <c r="K16">
        <v>20.227475614821529</v>
      </c>
    </row>
    <row r="17" spans="1:11" x14ac:dyDescent="0.2">
      <c r="A17" s="1">
        <v>5891</v>
      </c>
      <c r="B17" t="s">
        <v>25</v>
      </c>
      <c r="K17">
        <v>20.86464007198251</v>
      </c>
    </row>
    <row r="20" spans="1:11" x14ac:dyDescent="0.2">
      <c r="B20" s="1" t="s">
        <v>0</v>
      </c>
      <c r="C20" s="1" t="s">
        <v>1</v>
      </c>
      <c r="D20" s="1" t="s">
        <v>2</v>
      </c>
      <c r="E20" s="1" t="s">
        <v>3</v>
      </c>
      <c r="F20" s="1" t="s">
        <v>9</v>
      </c>
      <c r="G20" s="1" t="s">
        <v>1</v>
      </c>
      <c r="H20" s="1" t="s">
        <v>2</v>
      </c>
      <c r="I20" s="1" t="s">
        <v>3</v>
      </c>
      <c r="J20" s="1" t="s">
        <v>8</v>
      </c>
    </row>
    <row r="21" spans="1:11" x14ac:dyDescent="0.2">
      <c r="A21" s="1">
        <v>1199</v>
      </c>
      <c r="B21" s="2" t="s">
        <v>10</v>
      </c>
      <c r="C21" s="2">
        <f>$K2*C2</f>
        <v>0</v>
      </c>
      <c r="D21" s="2">
        <f>$K2*D2</f>
        <v>0</v>
      </c>
      <c r="E21" s="2">
        <f>$K2*E2</f>
        <v>0</v>
      </c>
      <c r="F21" s="2">
        <v>20.471365367284282</v>
      </c>
      <c r="G21" s="2">
        <f>$K2*G2</f>
        <v>0</v>
      </c>
      <c r="H21" s="2">
        <f>$K2*H2</f>
        <v>0</v>
      </c>
      <c r="I21" s="2">
        <f>$K2*I2</f>
        <v>28049.211166318222</v>
      </c>
      <c r="J21" s="2">
        <f>$K2*J2</f>
        <v>28049.211166318222</v>
      </c>
    </row>
    <row r="22" spans="1:11" x14ac:dyDescent="0.2">
      <c r="A22" s="1">
        <v>1575</v>
      </c>
      <c r="B22" s="2" t="s">
        <v>11</v>
      </c>
      <c r="C22" s="2">
        <f>$K3*C3</f>
        <v>0</v>
      </c>
      <c r="D22" s="2">
        <f>$K3*D3</f>
        <v>150044.61717446352</v>
      </c>
      <c r="E22" s="2">
        <f>$K3*E3</f>
        <v>140086.6845878821</v>
      </c>
      <c r="F22" s="2">
        <v>20.408786284091391</v>
      </c>
      <c r="G22" s="2">
        <f>$K3*G3</f>
        <v>520015.87451864866</v>
      </c>
      <c r="H22" s="2">
        <f>$K3*H3</f>
        <v>578527.86479513871</v>
      </c>
      <c r="I22" s="2">
        <f>$K3*I3</f>
        <v>176783.4651740983</v>
      </c>
      <c r="J22" s="2">
        <f>$K3*J3</f>
        <v>125514.03564716206</v>
      </c>
    </row>
    <row r="23" spans="1:11" x14ac:dyDescent="0.2">
      <c r="A23" s="1">
        <v>1576</v>
      </c>
      <c r="B23" s="2" t="s">
        <v>12</v>
      </c>
      <c r="C23" s="2">
        <f>$K4*C4</f>
        <v>66014.155627917527</v>
      </c>
      <c r="D23" s="2">
        <f>$K4*D4</f>
        <v>0</v>
      </c>
      <c r="E23" s="2">
        <f>$K4*E4</f>
        <v>139886.40552187758</v>
      </c>
      <c r="F23" s="2">
        <v>20.379608260018021</v>
      </c>
      <c r="G23" s="2">
        <f>$K4*G4</f>
        <v>519272.41846525919</v>
      </c>
      <c r="H23" s="2">
        <f>$K4*H4</f>
        <v>577700.75534673082</v>
      </c>
      <c r="I23" s="2">
        <f>$K4*I4</f>
        <v>619594.07516471844</v>
      </c>
      <c r="J23" s="2">
        <f>$K4*J4</f>
        <v>527268.76241245156</v>
      </c>
    </row>
    <row r="24" spans="1:11" x14ac:dyDescent="0.2">
      <c r="A24" s="1">
        <v>1578</v>
      </c>
      <c r="B24" s="2" t="s">
        <v>13</v>
      </c>
      <c r="C24" s="2">
        <f>$K5*C5</f>
        <v>60182.617885067099</v>
      </c>
      <c r="D24" s="2">
        <f>$K5*D5</f>
        <v>752555.91312539333</v>
      </c>
      <c r="E24" s="2">
        <f>$K5*E5</f>
        <v>72863.000019312371</v>
      </c>
      <c r="F24" s="2">
        <v>20.226889389984901</v>
      </c>
      <c r="G24" s="2">
        <f>$K5*G5</f>
        <v>10679.797597912027</v>
      </c>
      <c r="H24" s="2">
        <f>$K5*H5</f>
        <v>15696.066166628283</v>
      </c>
      <c r="I24" s="2">
        <f>$K5*I5</f>
        <v>556806.68558033882</v>
      </c>
      <c r="J24" s="2">
        <f>$K5*J5</f>
        <v>393304.22248270764</v>
      </c>
    </row>
    <row r="25" spans="1:11" x14ac:dyDescent="0.2">
      <c r="A25" s="1">
        <v>1875</v>
      </c>
      <c r="B25" s="2" t="s">
        <v>14</v>
      </c>
      <c r="C25" s="2">
        <f>$K6*C6</f>
        <v>0</v>
      </c>
      <c r="D25" s="2">
        <f>$K6*D6</f>
        <v>0</v>
      </c>
      <c r="E25" s="2">
        <f>$K6*E6</f>
        <v>0</v>
      </c>
      <c r="F25" s="2">
        <v>19.798600392143889</v>
      </c>
      <c r="G25" s="2">
        <f>$K6*G6</f>
        <v>0</v>
      </c>
      <c r="H25" s="2">
        <f>$K6*H6</f>
        <v>0</v>
      </c>
      <c r="I25" s="2">
        <f>$K6*I6</f>
        <v>27036.862841648475</v>
      </c>
      <c r="J25" s="2">
        <f>$K6*J6</f>
        <v>27036.862841648475</v>
      </c>
    </row>
    <row r="26" spans="1:11" x14ac:dyDescent="0.2">
      <c r="A26" s="1">
        <v>2138</v>
      </c>
      <c r="B26" s="2" t="s">
        <v>15</v>
      </c>
      <c r="C26" s="2">
        <f>$K7*C7</f>
        <v>0</v>
      </c>
      <c r="D26" s="2">
        <f>$K7*D7</f>
        <v>0</v>
      </c>
      <c r="E26" s="2">
        <f>$K7*E7</f>
        <v>0</v>
      </c>
      <c r="F26" s="2">
        <v>20.483079753112669</v>
      </c>
      <c r="G26" s="2">
        <f>$K7*G7</f>
        <v>0</v>
      </c>
      <c r="H26" s="2">
        <f>$K7*H7</f>
        <v>0</v>
      </c>
      <c r="I26" s="2">
        <f>$K7*I7</f>
        <v>53706.635112661417</v>
      </c>
      <c r="J26" s="2">
        <f>$K7*J7</f>
        <v>53706.635112661417</v>
      </c>
    </row>
    <row r="27" spans="1:11" x14ac:dyDescent="0.2">
      <c r="A27" s="1">
        <v>3037</v>
      </c>
      <c r="B27" s="2" t="s">
        <v>16</v>
      </c>
      <c r="C27" s="2">
        <f>$K8*C8</f>
        <v>0</v>
      </c>
      <c r="D27" s="2">
        <f>$K8*D8</f>
        <v>0</v>
      </c>
      <c r="E27" s="2">
        <f>$K8*E8</f>
        <v>21767.712498584788</v>
      </c>
      <c r="F27" s="2">
        <v>19.676032217654779</v>
      </c>
      <c r="G27" s="2">
        <f>$K8*G8</f>
        <v>8421.3417891562458</v>
      </c>
      <c r="H27" s="2">
        <f>$K8*H8</f>
        <v>100662.58082552184</v>
      </c>
      <c r="I27" s="2">
        <f>$K8*I8</f>
        <v>54209.416463106274</v>
      </c>
      <c r="J27" s="2">
        <f>$K8*J8</f>
        <v>45129.401975291774</v>
      </c>
    </row>
    <row r="28" spans="1:11" x14ac:dyDescent="0.2">
      <c r="A28" s="1">
        <v>3039</v>
      </c>
      <c r="B28" s="2" t="s">
        <v>17</v>
      </c>
      <c r="C28" s="2">
        <f>$K9*C9</f>
        <v>0</v>
      </c>
      <c r="D28" s="2">
        <f>$K9*D9</f>
        <v>479951.38129867398</v>
      </c>
      <c r="E28" s="2">
        <f>$K9*E9</f>
        <v>16052.500376928236</v>
      </c>
      <c r="F28" s="2">
        <v>20.568454771795849</v>
      </c>
      <c r="G28" s="2">
        <f>$K9*G9</f>
        <v>1583.7710174282804</v>
      </c>
      <c r="H28" s="2">
        <f>$K9*H9</f>
        <v>2200.824660582156</v>
      </c>
      <c r="I28" s="2">
        <f>$K9*I9</f>
        <v>168255.87141133251</v>
      </c>
      <c r="J28" s="2">
        <f>$K9*J9</f>
        <v>140485.22176060782</v>
      </c>
    </row>
    <row r="29" spans="1:11" x14ac:dyDescent="0.2">
      <c r="A29" s="1">
        <v>3041</v>
      </c>
      <c r="B29" s="2" t="s">
        <v>18</v>
      </c>
      <c r="C29" s="2">
        <f>$K10*C10</f>
        <v>0</v>
      </c>
      <c r="D29" s="2">
        <f>$K10*D10</f>
        <v>0</v>
      </c>
      <c r="E29" s="2">
        <f>$K10*E10</f>
        <v>752.76762617396764</v>
      </c>
      <c r="F29" s="2">
        <v>20.532264185177119</v>
      </c>
      <c r="G29" s="2">
        <f>$K10*G10</f>
        <v>8787.8090712558078</v>
      </c>
      <c r="H29" s="2">
        <f>$K10*H10</f>
        <v>105043.06357136615</v>
      </c>
      <c r="I29" s="2">
        <f>$K10*I10</f>
        <v>40231.847382967462</v>
      </c>
      <c r="J29" s="2">
        <f>$K10*J10</f>
        <v>21769.719622298078</v>
      </c>
    </row>
    <row r="30" spans="1:11" x14ac:dyDescent="0.2">
      <c r="A30" s="1">
        <v>3660</v>
      </c>
      <c r="B30" s="2" t="s">
        <v>19</v>
      </c>
      <c r="C30" s="2">
        <f>$K11*C11</f>
        <v>0</v>
      </c>
      <c r="D30" s="2">
        <f>$K11*D11</f>
        <v>12673.187784581794</v>
      </c>
      <c r="E30" s="2">
        <f>$K11*E11</f>
        <v>0</v>
      </c>
      <c r="F30" s="2">
        <v>20.34732294196407</v>
      </c>
      <c r="G30" s="2">
        <f>$K11*G11</f>
        <v>0</v>
      </c>
      <c r="H30" s="2">
        <f>$K11*H11</f>
        <v>0</v>
      </c>
      <c r="I30" s="2">
        <f>$K11*I11</f>
        <v>12676.382192843615</v>
      </c>
      <c r="J30" s="2">
        <f>$K11*J11</f>
        <v>12676.382192843615</v>
      </c>
    </row>
    <row r="31" spans="1:11" x14ac:dyDescent="0.2">
      <c r="A31" s="1">
        <v>3665</v>
      </c>
      <c r="B31" s="2" t="s">
        <v>20</v>
      </c>
      <c r="C31" s="2">
        <f>$K12*C12</f>
        <v>0</v>
      </c>
      <c r="D31" s="2">
        <f>$K12*D12</f>
        <v>0</v>
      </c>
      <c r="E31" s="2">
        <f>$K12*E12</f>
        <v>0</v>
      </c>
      <c r="F31" s="2">
        <v>20.577424230184391</v>
      </c>
      <c r="G31" s="2">
        <f>$K12*G12</f>
        <v>0</v>
      </c>
      <c r="H31" s="2">
        <f>$K12*H12</f>
        <v>0</v>
      </c>
      <c r="I31" s="2">
        <f>$K12*I12</f>
        <v>0</v>
      </c>
      <c r="J31" s="2">
        <f>$K12*J12</f>
        <v>0</v>
      </c>
    </row>
    <row r="32" spans="1:11" x14ac:dyDescent="0.2">
      <c r="A32" s="1">
        <v>3835</v>
      </c>
      <c r="B32" s="2" t="s">
        <v>21</v>
      </c>
      <c r="C32" s="2">
        <f>$K13*C13</f>
        <v>0</v>
      </c>
      <c r="D32" s="2">
        <f>$K13*D13</f>
        <v>0</v>
      </c>
      <c r="E32" s="2">
        <f>$K13*E13</f>
        <v>0</v>
      </c>
      <c r="F32" s="2">
        <v>20.395820021567701</v>
      </c>
      <c r="G32" s="2">
        <f>$K13*G13</f>
        <v>0</v>
      </c>
      <c r="H32" s="2">
        <f>$K13*H13</f>
        <v>0</v>
      </c>
      <c r="I32" s="2">
        <f>$K13*I13</f>
        <v>0</v>
      </c>
      <c r="J32" s="2">
        <f>$K13*J13</f>
        <v>0</v>
      </c>
    </row>
    <row r="33" spans="1:10" x14ac:dyDescent="0.2">
      <c r="A33" s="1">
        <v>4343</v>
      </c>
      <c r="B33" s="2" t="s">
        <v>22</v>
      </c>
      <c r="C33" s="2">
        <f>$K14*C14</f>
        <v>0</v>
      </c>
      <c r="D33" s="2">
        <f>$K14*D14</f>
        <v>0</v>
      </c>
      <c r="E33" s="2">
        <f>$K14*E14</f>
        <v>6587.5221778573741</v>
      </c>
      <c r="F33" s="2">
        <v>20.247325987635492</v>
      </c>
      <c r="G33" s="2">
        <f>$K14*G14</f>
        <v>48917.53958612735</v>
      </c>
      <c r="H33" s="2">
        <f>$K14*H14</f>
        <v>12978.53595807435</v>
      </c>
      <c r="I33" s="2">
        <f>$K14*I14</f>
        <v>33651.29267461336</v>
      </c>
      <c r="J33" s="2">
        <f>$K14*J14</f>
        <v>24015.01790676752</v>
      </c>
    </row>
    <row r="34" spans="1:10" x14ac:dyDescent="0.2">
      <c r="A34" s="1">
        <v>4937</v>
      </c>
      <c r="B34" s="2" t="s">
        <v>23</v>
      </c>
      <c r="C34" s="2">
        <f>$K15*C15</f>
        <v>14536.823377310608</v>
      </c>
      <c r="D34" s="2">
        <f>$K15*D15</f>
        <v>0</v>
      </c>
      <c r="E34" s="2">
        <f>$K15*E15</f>
        <v>38391.242572018025</v>
      </c>
      <c r="F34" s="2">
        <v>20.312095952112848</v>
      </c>
      <c r="G34" s="2">
        <f>$K15*G15</f>
        <v>6885.800527766256</v>
      </c>
      <c r="H34" s="2">
        <f>$K15*H15</f>
        <v>7109.2335832394965</v>
      </c>
      <c r="I34" s="2">
        <f>$K15*I15</f>
        <v>169619.5258547593</v>
      </c>
      <c r="J34" s="2">
        <f>$K15*J15</f>
        <v>79838.759820126099</v>
      </c>
    </row>
    <row r="35" spans="1:10" x14ac:dyDescent="0.2">
      <c r="A35" s="1">
        <v>5717</v>
      </c>
      <c r="B35" s="2" t="s">
        <v>24</v>
      </c>
      <c r="C35" s="2">
        <f>$K16*C16</f>
        <v>0</v>
      </c>
      <c r="D35" s="2">
        <f>$K16*D16</f>
        <v>0</v>
      </c>
      <c r="E35" s="2">
        <f>$K16*E16</f>
        <v>0</v>
      </c>
      <c r="F35" s="2">
        <v>20.227475614821529</v>
      </c>
      <c r="G35" s="2">
        <f>$K16*G16</f>
        <v>0</v>
      </c>
      <c r="H35" s="2">
        <f>$K16*H16</f>
        <v>0</v>
      </c>
      <c r="I35" s="2">
        <f>$K16*I16</f>
        <v>23045.008683614597</v>
      </c>
      <c r="J35" s="2">
        <f>$K16*J16</f>
        <v>23045.008683614597</v>
      </c>
    </row>
    <row r="36" spans="1:10" x14ac:dyDescent="0.2">
      <c r="A36" s="1">
        <v>5891</v>
      </c>
      <c r="B36" s="2" t="s">
        <v>25</v>
      </c>
      <c r="C36" s="2">
        <f>$K17*C17</f>
        <v>0</v>
      </c>
      <c r="D36" s="2">
        <f>$K17*D17</f>
        <v>0</v>
      </c>
      <c r="E36" s="2">
        <f>$K17*E17</f>
        <v>0</v>
      </c>
      <c r="F36" s="2">
        <v>20.86464007198251</v>
      </c>
      <c r="G36" s="2">
        <f>$K17*G17</f>
        <v>0</v>
      </c>
      <c r="H36" s="2">
        <f>$K17*H17</f>
        <v>0</v>
      </c>
      <c r="I36" s="2">
        <f>$K17*I17</f>
        <v>0</v>
      </c>
      <c r="J36" s="2">
        <f>$K17*J17</f>
        <v>0</v>
      </c>
    </row>
    <row r="37" spans="1:10" x14ac:dyDescent="0.2"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">
      <c r="B38" s="2"/>
      <c r="C38" s="2"/>
      <c r="D38" s="2"/>
      <c r="E38" s="2"/>
      <c r="F38" s="2"/>
      <c r="G38" s="2"/>
      <c r="H38" s="2"/>
      <c r="I38" s="2"/>
      <c r="J38" s="2"/>
    </row>
    <row r="39" spans="1:10" s="3" customFormat="1" x14ac:dyDescent="0.2">
      <c r="B39" s="4" t="s">
        <v>26</v>
      </c>
      <c r="C39" s="4">
        <f>SUM(C21:C36)/1000000</f>
        <v>0.14073359689029524</v>
      </c>
      <c r="D39" s="4">
        <f t="shared" ref="D39:J39" si="0">SUM(D21:D36)/1000000</f>
        <v>1.3952250993831126</v>
      </c>
      <c r="E39" s="4">
        <f t="shared" si="0"/>
        <v>0.43638783538063441</v>
      </c>
      <c r="F39" s="4">
        <f t="shared" si="0"/>
        <v>3.2551718544153143E-4</v>
      </c>
      <c r="G39" s="4">
        <f t="shared" si="0"/>
        <v>1.1245643525735538</v>
      </c>
      <c r="H39" s="4">
        <f t="shared" si="0"/>
        <v>1.3999189249072821</v>
      </c>
      <c r="I39" s="4">
        <f t="shared" si="0"/>
        <v>1.9636662797030211</v>
      </c>
      <c r="J39" s="4">
        <f t="shared" si="0"/>
        <v>1.501839241624499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2081E-28A4-DF48-9AF5-1F77D618BEC4}">
  <dimension ref="B1:C57"/>
  <sheetViews>
    <sheetView tabSelected="1" topLeftCell="A17" workbookViewId="0">
      <selection activeCell="C1" sqref="C1:C1048576"/>
    </sheetView>
  </sheetViews>
  <sheetFormatPr baseColWidth="10" defaultRowHeight="15" x14ac:dyDescent="0.2"/>
  <cols>
    <col min="2" max="2" width="7.33203125" customWidth="1"/>
    <col min="3" max="3" width="15.5" customWidth="1"/>
  </cols>
  <sheetData>
    <row r="1" spans="2:3" x14ac:dyDescent="0.2">
      <c r="C1" t="s">
        <v>27</v>
      </c>
    </row>
    <row r="2" spans="2:3" x14ac:dyDescent="0.2">
      <c r="B2" t="s">
        <v>36</v>
      </c>
      <c r="C2">
        <v>4.4503344543043202</v>
      </c>
    </row>
    <row r="3" spans="2:3" x14ac:dyDescent="0.2">
      <c r="B3" t="s">
        <v>69</v>
      </c>
      <c r="C3">
        <v>4.1772002814395837</v>
      </c>
    </row>
    <row r="4" spans="2:3" x14ac:dyDescent="0.2">
      <c r="B4" t="s">
        <v>70</v>
      </c>
      <c r="C4">
        <v>4.0673330471593658</v>
      </c>
    </row>
    <row r="5" spans="2:3" x14ac:dyDescent="0.2">
      <c r="B5" t="s">
        <v>68</v>
      </c>
      <c r="C5">
        <v>3.6414010476368568</v>
      </c>
    </row>
    <row r="6" spans="2:3" x14ac:dyDescent="0.2">
      <c r="B6" t="s">
        <v>60</v>
      </c>
      <c r="C6">
        <v>3.6382278683928457</v>
      </c>
    </row>
    <row r="7" spans="2:3" x14ac:dyDescent="0.2">
      <c r="B7" t="s">
        <v>59</v>
      </c>
      <c r="C7">
        <v>3.2819185836323781</v>
      </c>
    </row>
    <row r="8" spans="2:3" x14ac:dyDescent="0.2">
      <c r="B8" t="s">
        <v>61</v>
      </c>
      <c r="C8">
        <v>3.2560534887504278</v>
      </c>
    </row>
    <row r="9" spans="2:3" x14ac:dyDescent="0.2">
      <c r="B9" t="s">
        <v>58</v>
      </c>
      <c r="C9">
        <v>2.6061176218448758</v>
      </c>
    </row>
    <row r="10" spans="2:3" x14ac:dyDescent="0.2">
      <c r="B10" t="s">
        <v>56</v>
      </c>
      <c r="C10">
        <v>2.1639793700460772</v>
      </c>
    </row>
    <row r="11" spans="2:3" x14ac:dyDescent="0.2">
      <c r="B11" t="s">
        <v>62</v>
      </c>
      <c r="C11">
        <v>2.1501460898808724</v>
      </c>
    </row>
    <row r="12" spans="2:3" x14ac:dyDescent="0.2">
      <c r="B12" t="s">
        <v>54</v>
      </c>
      <c r="C12">
        <v>2.1147008916328875</v>
      </c>
    </row>
    <row r="13" spans="2:3" x14ac:dyDescent="0.2">
      <c r="B13" t="s">
        <v>82</v>
      </c>
      <c r="C13">
        <v>2.0724111630375748</v>
      </c>
    </row>
    <row r="14" spans="2:3" x14ac:dyDescent="0.2">
      <c r="B14" t="s">
        <v>34</v>
      </c>
      <c r="C14">
        <v>1.9636662797030211</v>
      </c>
    </row>
    <row r="15" spans="2:3" x14ac:dyDescent="0.2">
      <c r="B15" t="s">
        <v>83</v>
      </c>
      <c r="C15">
        <v>1.9496152956108215</v>
      </c>
    </row>
    <row r="16" spans="2:3" x14ac:dyDescent="0.2">
      <c r="B16" t="s">
        <v>75</v>
      </c>
      <c r="C16">
        <v>1.9414301137129182</v>
      </c>
    </row>
    <row r="17" spans="2:3" x14ac:dyDescent="0.2">
      <c r="B17" t="s">
        <v>42</v>
      </c>
      <c r="C17">
        <v>1.9348817589215566</v>
      </c>
    </row>
    <row r="18" spans="2:3" x14ac:dyDescent="0.2">
      <c r="B18" t="s">
        <v>53</v>
      </c>
      <c r="C18">
        <v>1.923586956764284</v>
      </c>
    </row>
    <row r="19" spans="2:3" x14ac:dyDescent="0.2">
      <c r="B19" t="s">
        <v>57</v>
      </c>
      <c r="C19">
        <v>1.9206579338973742</v>
      </c>
    </row>
    <row r="20" spans="2:3" x14ac:dyDescent="0.2">
      <c r="B20" t="s">
        <v>41</v>
      </c>
      <c r="C20">
        <v>1.9124662178281675</v>
      </c>
    </row>
    <row r="21" spans="2:3" x14ac:dyDescent="0.2">
      <c r="B21" t="s">
        <v>43</v>
      </c>
      <c r="C21">
        <v>1.7930218826654545</v>
      </c>
    </row>
    <row r="22" spans="2:3" x14ac:dyDescent="0.2">
      <c r="B22" t="s">
        <v>55</v>
      </c>
      <c r="C22">
        <v>1.7853415512745412</v>
      </c>
    </row>
    <row r="23" spans="2:3" x14ac:dyDescent="0.2">
      <c r="B23" t="s">
        <v>73</v>
      </c>
      <c r="C23">
        <v>1.7193658527841349</v>
      </c>
    </row>
    <row r="24" spans="2:3" x14ac:dyDescent="0.2">
      <c r="B24" t="s">
        <v>78</v>
      </c>
      <c r="C24">
        <v>1.5071658596622177</v>
      </c>
    </row>
    <row r="25" spans="2:3" x14ac:dyDescent="0.2">
      <c r="B25" t="s">
        <v>35</v>
      </c>
      <c r="C25">
        <v>1.501839241624499</v>
      </c>
    </row>
    <row r="26" spans="2:3" x14ac:dyDescent="0.2">
      <c r="B26" t="s">
        <v>33</v>
      </c>
      <c r="C26">
        <v>1.3999189249072821</v>
      </c>
    </row>
    <row r="27" spans="2:3" x14ac:dyDescent="0.2">
      <c r="B27" t="s">
        <v>29</v>
      </c>
      <c r="C27">
        <v>1.3952250993831126</v>
      </c>
    </row>
    <row r="28" spans="2:3" x14ac:dyDescent="0.2">
      <c r="B28" t="s">
        <v>74</v>
      </c>
      <c r="C28">
        <v>1.3249221176253847</v>
      </c>
    </row>
    <row r="29" spans="2:3" x14ac:dyDescent="0.2">
      <c r="B29" t="s">
        <v>72</v>
      </c>
      <c r="C29">
        <v>1.3218922921437193</v>
      </c>
    </row>
    <row r="30" spans="2:3" x14ac:dyDescent="0.2">
      <c r="B30" t="s">
        <v>76</v>
      </c>
      <c r="C30">
        <v>1.2660302390509237</v>
      </c>
    </row>
    <row r="31" spans="2:3" x14ac:dyDescent="0.2">
      <c r="B31" t="s">
        <v>64</v>
      </c>
      <c r="C31">
        <v>1.2592160606125984</v>
      </c>
    </row>
    <row r="32" spans="2:3" x14ac:dyDescent="0.2">
      <c r="B32" t="s">
        <v>77</v>
      </c>
      <c r="C32">
        <v>1.2517353352576954</v>
      </c>
    </row>
    <row r="33" spans="2:3" x14ac:dyDescent="0.2">
      <c r="B33" t="s">
        <v>63</v>
      </c>
      <c r="C33">
        <v>1.2367186398731023</v>
      </c>
    </row>
    <row r="34" spans="2:3" x14ac:dyDescent="0.2">
      <c r="B34" t="s">
        <v>67</v>
      </c>
      <c r="C34">
        <v>1.1885368375477872</v>
      </c>
    </row>
    <row r="35" spans="2:3" x14ac:dyDescent="0.2">
      <c r="B35" t="s">
        <v>66</v>
      </c>
      <c r="C35">
        <v>1.1838529790291401</v>
      </c>
    </row>
    <row r="36" spans="2:3" x14ac:dyDescent="0.2">
      <c r="B36" t="s">
        <v>71</v>
      </c>
      <c r="C36">
        <v>1.1560307747939795</v>
      </c>
    </row>
    <row r="37" spans="2:3" x14ac:dyDescent="0.2">
      <c r="B37" t="s">
        <v>32</v>
      </c>
      <c r="C37">
        <v>1.1245643525735538</v>
      </c>
    </row>
    <row r="38" spans="2:3" x14ac:dyDescent="0.2">
      <c r="B38" t="s">
        <v>79</v>
      </c>
      <c r="C38">
        <v>1.1136903577749135</v>
      </c>
    </row>
    <row r="39" spans="2:3" x14ac:dyDescent="0.2">
      <c r="B39" t="s">
        <v>50</v>
      </c>
      <c r="C39">
        <v>0.97475949855139432</v>
      </c>
    </row>
    <row r="40" spans="2:3" x14ac:dyDescent="0.2">
      <c r="B40" t="s">
        <v>81</v>
      </c>
      <c r="C40">
        <v>0.86823673550696157</v>
      </c>
    </row>
    <row r="41" spans="2:3" x14ac:dyDescent="0.2">
      <c r="B41" t="s">
        <v>39</v>
      </c>
      <c r="C41">
        <v>0.86541999290497695</v>
      </c>
    </row>
    <row r="42" spans="2:3" x14ac:dyDescent="0.2">
      <c r="B42" t="s">
        <v>38</v>
      </c>
      <c r="C42">
        <v>0.86365830295007795</v>
      </c>
    </row>
    <row r="43" spans="2:3" x14ac:dyDescent="0.2">
      <c r="B43" t="s">
        <v>80</v>
      </c>
      <c r="C43">
        <v>0.85975705491946064</v>
      </c>
    </row>
    <row r="44" spans="2:3" x14ac:dyDescent="0.2">
      <c r="B44" t="s">
        <v>51</v>
      </c>
      <c r="C44">
        <v>0.78261169247283546</v>
      </c>
    </row>
    <row r="45" spans="2:3" x14ac:dyDescent="0.2">
      <c r="B45" t="s">
        <v>52</v>
      </c>
      <c r="C45">
        <v>0.75907246219969793</v>
      </c>
    </row>
    <row r="46" spans="2:3" x14ac:dyDescent="0.2">
      <c r="B46" t="s">
        <v>47</v>
      </c>
      <c r="C46">
        <v>0.75782952867480469</v>
      </c>
    </row>
    <row r="47" spans="2:3" x14ac:dyDescent="0.2">
      <c r="B47" t="s">
        <v>37</v>
      </c>
      <c r="C47">
        <v>0.75571457451437418</v>
      </c>
    </row>
    <row r="48" spans="2:3" x14ac:dyDescent="0.2">
      <c r="B48" t="s">
        <v>40</v>
      </c>
      <c r="C48">
        <v>0.74192638405417843</v>
      </c>
    </row>
    <row r="49" spans="2:3" x14ac:dyDescent="0.2">
      <c r="B49" t="s">
        <v>49</v>
      </c>
      <c r="C49">
        <v>0.72910333731208243</v>
      </c>
    </row>
    <row r="50" spans="2:3" x14ac:dyDescent="0.2">
      <c r="B50" t="s">
        <v>65</v>
      </c>
      <c r="C50">
        <v>0.6665690569230639</v>
      </c>
    </row>
    <row r="51" spans="2:3" x14ac:dyDescent="0.2">
      <c r="B51" t="s">
        <v>48</v>
      </c>
      <c r="C51">
        <v>0.60726549802664376</v>
      </c>
    </row>
    <row r="52" spans="2:3" x14ac:dyDescent="0.2">
      <c r="B52" t="s">
        <v>44</v>
      </c>
      <c r="C52">
        <v>0.5791824642342589</v>
      </c>
    </row>
    <row r="53" spans="2:3" x14ac:dyDescent="0.2">
      <c r="B53" t="s">
        <v>45</v>
      </c>
      <c r="C53">
        <v>0.56039779431921122</v>
      </c>
    </row>
    <row r="54" spans="2:3" x14ac:dyDescent="0.2">
      <c r="B54" t="s">
        <v>30</v>
      </c>
      <c r="C54">
        <v>0.43638783538063441</v>
      </c>
    </row>
    <row r="55" spans="2:3" x14ac:dyDescent="0.2">
      <c r="B55" t="s">
        <v>46</v>
      </c>
      <c r="C55">
        <v>0.39550245888639829</v>
      </c>
    </row>
    <row r="56" spans="2:3" x14ac:dyDescent="0.2">
      <c r="B56" t="s">
        <v>28</v>
      </c>
      <c r="C56">
        <v>0.14073359689029524</v>
      </c>
    </row>
    <row r="57" spans="2:3" x14ac:dyDescent="0.2">
      <c r="B57" t="s">
        <v>31</v>
      </c>
      <c r="C57">
        <v>3.2551718544153143E-4</v>
      </c>
    </row>
  </sheetData>
  <sortState xmlns:xlrd2="http://schemas.microsoft.com/office/spreadsheetml/2017/richdata2" ref="B2:C16394">
    <sortCondition descending="1" ref="C1:C16394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2021-12-31T13:48:36Z</dcterms:created>
  <dcterms:modified xsi:type="dcterms:W3CDTF">2021-12-31T06:44:21Z</dcterms:modified>
</cp:coreProperties>
</file>