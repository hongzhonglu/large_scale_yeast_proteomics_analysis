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autoCompressPictures="0"/>
  <mc:AlternateContent xmlns:mc="http://schemas.openxmlformats.org/markup-compatibility/2006">
    <mc:Choice Requires="x15">
      <x15ac:absPath xmlns:x15ac="http://schemas.microsoft.com/office/spreadsheetml/2010/11/ac" url="/Users/xluhon/Documents/GitHub/large_scale_yeast_proteomics_analysis/data/sce_compartment_curation/"/>
    </mc:Choice>
  </mc:AlternateContent>
  <xr:revisionPtr revIDLastSave="0" documentId="13_ncr:1_{D28D20A1-2D55-CC4E-8A20-3C524B26E2EB}" xr6:coauthVersionLast="47" xr6:coauthVersionMax="47" xr10:uidLastSave="{00000000-0000-0000-0000-000000000000}"/>
  <bookViews>
    <workbookView xWindow="5780" yWindow="4260" windowWidth="29480" windowHeight="16440" activeTab="1" xr2:uid="{00000000-000D-0000-FFFF-FFFF00000000}"/>
  </bookViews>
  <sheets>
    <sheet name="Supplementary Data 5" sheetId="1" r:id="rId1"/>
    <sheet name="Sheet1" sheetId="2" r:id="rId2"/>
  </sheets>
  <definedNames>
    <definedName name="_xlnm._FilterDatabase" localSheetId="0" hidden="1">'Supplementary Data 5'!$A$1:$Q$1</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2" i="1"/>
</calcChain>
</file>

<file path=xl/sharedStrings.xml><?xml version="1.0" encoding="utf-8"?>
<sst xmlns="http://schemas.openxmlformats.org/spreadsheetml/2006/main" count="4865" uniqueCount="2849">
  <si>
    <t>Gene</t>
  </si>
  <si>
    <t>Protein description</t>
  </si>
  <si>
    <r>
      <t>SN</t>
    </r>
    <r>
      <rPr>
        <b/>
        <sz val="11"/>
        <rFont val="Calibri"/>
        <family val="2"/>
      </rPr>
      <t>son</t>
    </r>
    <r>
      <rPr>
        <b/>
        <sz val="12"/>
        <rFont val="Calibri"/>
        <family val="2"/>
      </rPr>
      <t>/PEL</t>
    </r>
    <r>
      <rPr>
        <b/>
        <sz val="11"/>
        <rFont val="Calibri"/>
        <family val="2"/>
      </rPr>
      <t>son</t>
    </r>
    <r>
      <rPr>
        <b/>
        <sz val="12"/>
        <rFont val="Calibri"/>
        <family val="2"/>
      </rPr>
      <t xml:space="preserve">       (average)         </t>
    </r>
  </si>
  <si>
    <r>
      <t>SN</t>
    </r>
    <r>
      <rPr>
        <b/>
        <sz val="11"/>
        <rFont val="Calibri"/>
        <family val="2"/>
      </rPr>
      <t>carb</t>
    </r>
    <r>
      <rPr>
        <b/>
        <sz val="12"/>
        <rFont val="Calibri"/>
        <family val="2"/>
      </rPr>
      <t>/PEL</t>
    </r>
    <r>
      <rPr>
        <b/>
        <sz val="11"/>
        <rFont val="Calibri"/>
        <family val="2"/>
      </rPr>
      <t>carb</t>
    </r>
    <r>
      <rPr>
        <b/>
        <sz val="12"/>
        <rFont val="Calibri"/>
        <family val="2"/>
      </rPr>
      <t xml:space="preserve">  (average)          </t>
    </r>
  </si>
  <si>
    <t>Yeast / Mito</t>
  </si>
  <si>
    <t>Soluble</t>
  </si>
  <si>
    <t>Peripheral</t>
  </si>
  <si>
    <t>Integral</t>
  </si>
  <si>
    <t>Ambiguous</t>
  </si>
  <si>
    <t>Outer membrane</t>
  </si>
  <si>
    <t>Inner membrane</t>
  </si>
  <si>
    <t>Inter-membrane space</t>
  </si>
  <si>
    <t>Matrix</t>
  </si>
  <si>
    <t>AAC1</t>
  </si>
  <si>
    <t>YMR056C</t>
  </si>
  <si>
    <t>Mitochondrial inner membrane ADP/ATP translocator; exchanges cytosolic ADP for mitochondrially synthesized ATP; phosphorylated; Aac1p is a minor isoform while Pet9p is the major ADP/ATP translocator; relocalizes from mitochondrion to cytoplasm upon DNA replication stress</t>
  </si>
  <si>
    <t>AAT1</t>
  </si>
  <si>
    <t>YKL106W</t>
  </si>
  <si>
    <t>Mitochondrial aspartate aminotransferase; catalyzes the conversion of oxaloacetate to aspartate in aspartate and asparagine biosynthesis</t>
  </si>
  <si>
    <t>AAT2</t>
  </si>
  <si>
    <t>YLR027C</t>
  </si>
  <si>
    <t>Cytosolic aspartate aminotransferase involved in nitrogen metabolism; localizes to peroxisomes in oleate-grown cells</t>
  </si>
  <si>
    <t>ABF2</t>
  </si>
  <si>
    <t>YMR072W</t>
  </si>
  <si>
    <t>Mitochondrial DNA-binding protein; involved in mitochondrial DNA replication and recombination, member of HMG1 DNA-binding protein family; activity may be regulated by protein kinase A phosphorylation; ABF2 has a paralog, IXR1, that arose from the whole genome duplication</t>
  </si>
  <si>
    <t>ACH1</t>
  </si>
  <si>
    <t>YBL015W</t>
  </si>
  <si>
    <t>Protein with CoA transferase activity; particularly for CoASH transfer from succinyl-CoA to acetate; has minor acetyl-CoA-hydrolase activity; phosphorylated; required for acetate utilization and for diploid pseudohyphal growth</t>
  </si>
  <si>
    <t>ACO1</t>
  </si>
  <si>
    <t>YLR304C</t>
  </si>
  <si>
    <t>Aconitase; required for the tricarboxylic acid (TCA) cycle and also independently required for mitochondrial genome maintenance; phosphorylated; component of the mitochondrial nucleoid; mutation leads to glutamate auxotrophy</t>
  </si>
  <si>
    <t>ACO2</t>
  </si>
  <si>
    <t>YJL200C</t>
  </si>
  <si>
    <t>Putative mitochondrial aconitase isozyme; similarity to Aco1p, an aconitase required for the TCA cycle; expression induced during growth on glucose, by amino acid starvation via Gcn4p, and repressed on ethanol</t>
  </si>
  <si>
    <t>ACP1</t>
  </si>
  <si>
    <t>YKL192C</t>
  </si>
  <si>
    <t>Mitochondrial matrix acyl carrier protein; involved in biosynthesis of octanoate, which is a precursor to lipoic acid; activated by phosphopantetheinylation catalyzed by Ppt2p</t>
  </si>
  <si>
    <t>ACS1</t>
  </si>
  <si>
    <t>YAL054C</t>
  </si>
  <si>
    <t>Acetyl-coA synthetase isoform; along with Acs2p, acetyl-coA synthetase isoform is the nuclear source of acetyl-coA for histone acetylation; expressed during growth on nonfermentable carbon sources and under aerobic conditions</t>
  </si>
  <si>
    <t>ACT1</t>
  </si>
  <si>
    <t>YFL039C</t>
  </si>
  <si>
    <t>Actin; structural protein involved in cell polarization, endocytosis, and other cytoskeletal functions</t>
  </si>
  <si>
    <t>ADE1</t>
  </si>
  <si>
    <t>YAR015W</t>
  </si>
  <si>
    <t>N-succinyl-5-aminoimidazole-4-carboxamide ribotide synthetase; required for 'de novo' purine nucleotide biosynthesis; red pigment accumulates in mutant cells deprived of adenine; protein abundance increases in response to DNA replication stress</t>
  </si>
  <si>
    <t>--</t>
  </si>
  <si>
    <t>##</t>
  </si>
  <si>
    <t>ADH1</t>
  </si>
  <si>
    <t>YOL086C</t>
  </si>
  <si>
    <t>Alcohol dehydrogenase; fermentative isozyme active as homo- or heterotetramers; required for the reduction of acetaldehyde to ethanol, the last step in the glycolytic pathway; ADH1 has a paralog, ADH5, that arose from the whole genome duplication</t>
  </si>
  <si>
    <t>ADH2</t>
  </si>
  <si>
    <t>YMR303C</t>
  </si>
  <si>
    <t>Glucose-repressible alcohol dehydrogenase II; catalyzes the conversion of ethanol to acetaldehyde; involved in the production of certain carboxylate esters; regulated by ADR1</t>
  </si>
  <si>
    <t>ADH3</t>
  </si>
  <si>
    <t>YMR083W</t>
  </si>
  <si>
    <t>Mitochondrial alcohol dehydrogenase isozyme III; involved in the shuttling of mitochondrial NADH to the cytosol under anaerobic conditions and ethanol production</t>
  </si>
  <si>
    <t>ADH4</t>
  </si>
  <si>
    <t>YGL256W</t>
  </si>
  <si>
    <t>Alcohol dehydrogenase isoenzyme type IV; dimeric enzyme demonstrated to be zinc-dependent despite sequence similarity to iron-activated alcohol dehydrogenases; transcription is induced in response to zinc deficiency</t>
  </si>
  <si>
    <t>ADK1</t>
  </si>
  <si>
    <t>YDR226W</t>
  </si>
  <si>
    <t>Adenylate kinase, required for purine metabolism; localized to the cytoplasm and the mitochondria; lacks cleavable signal sequence; protein abundance increases in response to DNA replication stress</t>
  </si>
  <si>
    <t>ADY2</t>
  </si>
  <si>
    <t>YCR010C</t>
  </si>
  <si>
    <t>Acetate transporter required for normal sporulation; phosphorylated in mitochondria; ADY2 has a paralog, ATO2, that arose from the whole genome duplication</t>
  </si>
  <si>
    <t>AEP1</t>
  </si>
  <si>
    <t>YMR064W</t>
  </si>
  <si>
    <t>Protein required for expression of the mitochondrial OLI1 gene; mitochondrial OLI1 gene encodes subunit 9 of F1-F0 ATP synthase</t>
  </si>
  <si>
    <t>AEP2</t>
  </si>
  <si>
    <t>YMR282C</t>
  </si>
  <si>
    <t>Mitochondrial protein; likely involved in translation of the mitochondrial OLI1 mRNA; exhibits genetic interaction with the OLI1 mRNA 5'-untranslated leader</t>
  </si>
  <si>
    <t>AEP3</t>
  </si>
  <si>
    <t>YPL005W</t>
  </si>
  <si>
    <t>Peripheral mitochondrial inner membrane protein; may facilitate use of unformylated tRNA-Met in mitochondrial translation initiation; stabilizes the bicistronic AAP1-ATP6 mRNA</t>
  </si>
  <si>
    <t>AFG1</t>
  </si>
  <si>
    <t>YEL052W</t>
  </si>
  <si>
    <t>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</si>
  <si>
    <t>AFG3</t>
  </si>
  <si>
    <t>YER017C</t>
  </si>
  <si>
    <t>Mitochondrial inner membrane m-AAA protease component; mediates degradation of misfolded or unassembled proteins and is also required for correct assembly of mitochondrial enzyme complexes; involved in cytoplasmic mRNA translation and aging</t>
  </si>
  <si>
    <t>AGC1</t>
  </si>
  <si>
    <t>YPR021C</t>
  </si>
  <si>
    <t>Mitochondrial amino acid transporter; acts both as a glutamate uniporter and as an aspartate-glutamate exchanger; involved in nitrogen metabolism and nitrogen compound biosynthesis</t>
  </si>
  <si>
    <t>AGX1</t>
  </si>
  <si>
    <t>YFL030W</t>
  </si>
  <si>
    <t>Alanine:glyoxylate aminotransferase (AGT); catalyzes the synthesis of glycine from glyoxylate, which is one of three pathways for glycine biosynthesis in yeast; has similarity to mammalian and plant alanine:glyoxylate aminotransferases</t>
  </si>
  <si>
    <t>AHP1</t>
  </si>
  <si>
    <t>YLR109W</t>
  </si>
  <si>
    <t>Thiol-specific peroxiredoxin; reduces hydroperoxides to protect against oxidative damage; function in vivo requires covalent conjugation to Urm1p</t>
  </si>
  <si>
    <t>AI1</t>
  </si>
  <si>
    <t>Q0050</t>
  </si>
  <si>
    <t>Reverse transcriptase required for splicing of the COX1 pre-mRNA; encoded by a mobile group II intron within the mitochondrial COX1 gene</t>
  </si>
  <si>
    <t>AI2</t>
  </si>
  <si>
    <t>Q0055</t>
  </si>
  <si>
    <t>AI3</t>
  </si>
  <si>
    <t>Q0060</t>
  </si>
  <si>
    <t>Endonuclease I-SceIII; encoded by a mobile group I intron within the mitochondrial COX1 gene</t>
  </si>
  <si>
    <t>AI4</t>
  </si>
  <si>
    <t>Q0065</t>
  </si>
  <si>
    <t>Endonuclease I-SceII; encoded by a mobile group I intron within the mitochondrial COX1 gene; intron is normally spliced by the BI4p maturase but AI4p can mutate to acquire the same maturase activity</t>
  </si>
  <si>
    <t>AI5_ALPHA</t>
  </si>
  <si>
    <t>Q0070</t>
  </si>
  <si>
    <t>Endonuclease I-SceIV; involved in intron mobility; encoded by a mobile group I intron within the mitochondrial COX1 gene</t>
  </si>
  <si>
    <t>AIM1</t>
  </si>
  <si>
    <t>YAL046C</t>
  </si>
  <si>
    <t>Protein involved in mitochondrial function or organization; null mutant displays elevated frequency of mitochondrial genome loss</t>
  </si>
  <si>
    <t>AIM10</t>
  </si>
  <si>
    <t>YER087W</t>
  </si>
  <si>
    <t>Protein with similarity to tRNA synthetases; non-tagged protein is detected in purified mitochondria; null mutant is viable and displays elevated frequency of mitochondrial genome loss</t>
  </si>
  <si>
    <t>AIM17</t>
  </si>
  <si>
    <t>YHL021C</t>
  </si>
  <si>
    <t>Putative protein of unknown function; the authentic, non-tagged protein is detected in highly purified mitochondria in high-throughput studies; null mutant displays reduced frequency of mitochondrial genome loss</t>
  </si>
  <si>
    <t>AIM18</t>
  </si>
  <si>
    <t>YHR198C</t>
  </si>
  <si>
    <t>Putative protein of unknown function; the authentic, non-tagged protein is detected in highly purified mitochondria in high-throughput studies; null mutant displays elevated frequency of mitochondrial genome loss</t>
  </si>
  <si>
    <t>AIM19</t>
  </si>
  <si>
    <t>YIL087C</t>
  </si>
  <si>
    <t>Putative protein of unknown function; mitochondrial protein that physically interacts with Tim23p; null mutant displays reduced respiratory growth</t>
  </si>
  <si>
    <t>AIM22</t>
  </si>
  <si>
    <t>YJL046W</t>
  </si>
  <si>
    <t>Putative lipoate-protein ligase; required along with Lip2 and Lip5 for lipoylation of Lat1p and Kgd2p; similar to E. coli LplA; null mutant displays reduced frequency of mitochondrial genome loss</t>
  </si>
  <si>
    <t>AIM23</t>
  </si>
  <si>
    <t>YJL131C</t>
  </si>
  <si>
    <t>Mitochondrial translation initiation factor 3 (IF3, mIF3); evolutionarily conserved; binds to E. coli ribosomes in vitro; null mutant displays severe respiratory growth defect and elevated frequency of mitochondrial genome loss</t>
  </si>
  <si>
    <t>AIM24</t>
  </si>
  <si>
    <t>YJR080C</t>
  </si>
  <si>
    <t>Protein with a role in determining mitochondrial architecture; inner membrane protein that interacts physically and genetically with the MICOS complex and is required for its integrity</t>
  </si>
  <si>
    <t>AIM25</t>
  </si>
  <si>
    <t>YJR100C</t>
  </si>
  <si>
    <t>Putative protein of unknown function; non-tagged protein is detected in purified mitochondria in high-throughput studies; similar to murine NOR1; null mutant is viable and displays elevated frequency of mitochondrial genome loss</t>
  </si>
  <si>
    <t>AIM32</t>
  </si>
  <si>
    <t>YML050W</t>
  </si>
  <si>
    <t>Putative protein of unknown function; null mutant is viable and displays elevated frequency of mitochondrial genome loss</t>
  </si>
  <si>
    <t>AIM34</t>
  </si>
  <si>
    <t>YMR003W</t>
  </si>
  <si>
    <t>Protein of unknown function; GFP-fusion protein localizes to the mitochondria; null mutant is viable and displays reduced frequency of mitochondrial genome loss</t>
  </si>
  <si>
    <t>AIM36</t>
  </si>
  <si>
    <t>YMR157C</t>
  </si>
  <si>
    <t>Protein of unknown function; null mutant displays reduced respiratory growth and elevated frequency of mitochondrial genome loss; the authentic, non-tagged protein is detected in purified mitochondria in high-throughput studies</t>
  </si>
  <si>
    <t>AIM39</t>
  </si>
  <si>
    <t>YOL053W</t>
  </si>
  <si>
    <t>Putative protein of unknown function; null mutant displays elevated frequency of mitochondrial genome loss</t>
  </si>
  <si>
    <t>AIM41</t>
  </si>
  <si>
    <t>YOR215C</t>
  </si>
  <si>
    <t>Putative protein of unknown function; the authentic protein is detected in highly purified mitochondria in high-throughput studies; null mutant displays reduced frequency of mitochondrial genome loss</t>
  </si>
  <si>
    <t>AIM45</t>
  </si>
  <si>
    <t>YPR004C</t>
  </si>
  <si>
    <t>Putative ortholog of mammalian ETF-alpha; interacts with frataxin, Yfh1p; null mutant displays elevated frequency of mitochondrial genome loss; may have a role in oxidative stress response; ETF-alpha is an electron transfer flavoprotein complex subunit</t>
  </si>
  <si>
    <t>AIM46</t>
  </si>
  <si>
    <t>YHR199C</t>
  </si>
  <si>
    <t>AIM9</t>
  </si>
  <si>
    <t>YER080W</t>
  </si>
  <si>
    <t>ALA1</t>
  </si>
  <si>
    <t>YOR335C</t>
  </si>
  <si>
    <t>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t>
  </si>
  <si>
    <t>ALD4</t>
  </si>
  <si>
    <t>YOR374W</t>
  </si>
  <si>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t>
  </si>
  <si>
    <t>ALD5</t>
  </si>
  <si>
    <t>YER073W</t>
  </si>
  <si>
    <t>Mitochondrial aldehyde dehydrogenase; involved in regulation or biosynthesis of electron transport chain components and acetate formation; activated by K+; utilizes NADP+ as the preferred coenzyme; constitutively expressed</t>
  </si>
  <si>
    <t>ALD6</t>
  </si>
  <si>
    <t>YPL061W</t>
  </si>
  <si>
    <t>Cytosolic aldehyde dehydrogenase; activated by Mg2+ and utilizes NADP+ as the preferred coenzyme; required for conversion of acetaldehyde to acetate; constitutively expressed; locates to the mitochondrial outer surface upon oxidative stress</t>
  </si>
  <si>
    <t>ALG11</t>
  </si>
  <si>
    <t>YNL048W</t>
  </si>
  <si>
    <t>Alpha-1,2-mannosyltransferase; catalyzes sequential addition of the two terminal alpha 1,2-mannose residues to the Man5GlcNAc2-PP-dolichol intermediate during asparagine-linked glycosylation in the ER</t>
  </si>
  <si>
    <t>ALG9</t>
  </si>
  <si>
    <t>YNL219C</t>
  </si>
  <si>
    <t>Mannosyltransferase, involved in N-linked glycosylation; catalyzes both the transfer of seventh mannose residue on B-arm and ninth mannose residue on the C-arm from Dol-P-Man to lipid-linked oligosaccharides; mutation of the human ortholog causes type 1 congenital disorders of glycosylation</t>
  </si>
  <si>
    <t>ALO1</t>
  </si>
  <si>
    <t>YML086C</t>
  </si>
  <si>
    <t>D-Arabinono-1,4-lactone oxidase; catalyzes the final step in biosynthesis of dehydro-D-arabinono-1,4-lactone, which is protective against oxidative stress</t>
  </si>
  <si>
    <t>ALT1</t>
  </si>
  <si>
    <t>YLR089C</t>
  </si>
  <si>
    <t>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</si>
  <si>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AMS1</t>
  </si>
  <si>
    <t>YGL156W</t>
  </si>
  <si>
    <t>Vacuolar alpha mannosidase; involved in free oligosaccharide (fOS) degradation; delivered to the vacuole in a novel pathway separate from the secretory pathway</t>
  </si>
  <si>
    <t>20.00**</t>
  </si>
  <si>
    <t>APE2</t>
  </si>
  <si>
    <t>YKL157W</t>
  </si>
  <si>
    <t>Aminopeptidase yscII; may have a role in obtaining leucine from dipeptide substrates; APE2 has a paralog, AAP1, that arose from the whole genome duplication</t>
  </si>
  <si>
    <t>APE4</t>
  </si>
  <si>
    <t>YHR113W</t>
  </si>
  <si>
    <t>Cytoplasmic aspartyl aminopeptidase with possible vacuole function; Cvt pathway cargo protein; cleaves unblocked N-terminal acidic amino acids from peptide substrates; forms a 12-subunit homo-oligomer; M18 metalloprotease family</t>
  </si>
  <si>
    <t>X</t>
  </si>
  <si>
    <t>APN1</t>
  </si>
  <si>
    <t>YKL114C</t>
  </si>
  <si>
    <t>Major apurinic/apyrimidinic endonuclease; 3'-repair diesterase; involved in repair of DNA damage by oxidation and alkylating agents; also functions as a 3'-5' exonuclease to repair 7,8-dihydro-8-oxodeoxyguanosine; genetically interacts with NTG1 to maintain mitochondrial genome integrity</t>
  </si>
  <si>
    <t>APP1</t>
  </si>
  <si>
    <t>YNL094W</t>
  </si>
  <si>
    <t>Phosphatidate phosphatase, converts phosphatidate to diacylglycerol; App1p, Pah1p, Dpp1p, and Lpp1p are responsible for all the phosphatidate phosphatase activity; component of cortical actin patches; interacts with components of endocytic pathway</t>
  </si>
  <si>
    <t>ARC1</t>
  </si>
  <si>
    <t>YGL105W</t>
  </si>
  <si>
    <t>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t>
  </si>
  <si>
    <t>ARG1</t>
  </si>
  <si>
    <t>YOL058W</t>
  </si>
  <si>
    <t>Arginosuccinate synthetase; catalyzes the formation of L-argininosuccinate from citrulline and L-aspartate in the arginine biosynthesis pathway; potential Cdc28p substrate</t>
  </si>
  <si>
    <t>ARG2</t>
  </si>
  <si>
    <t>YJL071W</t>
  </si>
  <si>
    <t>Acetylglutamate synthase (glutamate N-acetyltransferase); mitochondrial enzyme that catalyzes the first step in the biosynthesis of the arginine precursor ornithine; forms a complex with Arg5,6p</t>
  </si>
  <si>
    <t>ARG5,6</t>
  </si>
  <si>
    <t>YER069W</t>
  </si>
  <si>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</si>
  <si>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ARG7</t>
  </si>
  <si>
    <t>YMR062C</t>
  </si>
  <si>
    <t>Mitochondrial ornithine acetyltransferase; catalyzes the fifth step in arginine biosynthesis; also possesses acetylglutamate synthase activity, regenerates acetylglutamate while forming ornithine</t>
  </si>
  <si>
    <t>ARG8</t>
  </si>
  <si>
    <t>YOL140W</t>
  </si>
  <si>
    <t>Acetylornithine aminotransferase; catalyzes the fourth step in the biosynthesis of the arginine precursor ornithine</t>
  </si>
  <si>
    <t>ARH1</t>
  </si>
  <si>
    <t>YDR376W</t>
  </si>
  <si>
    <t>Oxidoreductase of the mitochondrial inner membrane; involved in cytoplasmic and mitochondrial iron homeostasis and required for activity of Fe-S cluster-containing enzymes; one of the few mitochondrial proteins essential for viability</t>
  </si>
  <si>
    <t>ATG32</t>
  </si>
  <si>
    <t>YIL146C</t>
  </si>
  <si>
    <t>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t>
  </si>
  <si>
    <t>ATM1</t>
  </si>
  <si>
    <t>YMR301C</t>
  </si>
  <si>
    <t>Mitochondrial inner membrane ATP-binding cassette (ABC) transporter; exports mitochondrially synthesized precursors of iron-sulfur (Fe/S) clusters to the cytosol</t>
  </si>
  <si>
    <t>ATO2</t>
  </si>
  <si>
    <t>YNR002C</t>
  </si>
  <si>
    <t>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t>
  </si>
  <si>
    <t>ATO3</t>
  </si>
  <si>
    <t>YDR384C</t>
  </si>
  <si>
    <t>Plasma membrane protein, putative ammonium transporter; regulation pattern suggests a possible role in export of ammonia from the cell; phosphorylated in mitochondria; member of the TC 9.B.33 YaaH family of putative transporters</t>
  </si>
  <si>
    <t>ATP1</t>
  </si>
  <si>
    <t>YBL099W</t>
  </si>
  <si>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</si>
  <si>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ATP10</t>
  </si>
  <si>
    <t>YLR393W</t>
  </si>
  <si>
    <t>Assembly factor for the F0 sector of mitochondrial F1F0 ATP synthase; mitochondrial inner membrane protein; interacts genetically with ATP6</t>
  </si>
  <si>
    <t>ATP11</t>
  </si>
  <si>
    <t>YNL315C</t>
  </si>
  <si>
    <t>Molecular chaperone; required for the assembly of alpha and beta subunits into the F1 sector of mitochondrial F1F0 ATP synthase; N-terminally propionylated in vivo</t>
  </si>
  <si>
    <t>ATP12</t>
  </si>
  <si>
    <t>YJL180C</t>
  </si>
  <si>
    <t>Assembly factor for the F1 sector of mitochondrial F1F0 ATP synthase; conserved protein; required for the assembly of alpha and beta subunits into the F1 sector of the mitochondrial F1F0 ATP synthase; mutation of human ATP12 reduces active ATP synthase levels and is associated with the disorder ATPAF2 deficiency</t>
  </si>
  <si>
    <t>ATP14</t>
  </si>
  <si>
    <t>YLR295C</t>
  </si>
  <si>
    <t>Subunit h of the F0 sector of mitochondrial F1F0 ATP synthase; F1F0 ATP synthase is a large, evolutionarily conserved enzyme complex required for ATP synthesis; protein abundance increases in response to DNA replication stress</t>
  </si>
  <si>
    <t>ATP15</t>
  </si>
  <si>
    <t>YPL271W</t>
  </si>
  <si>
    <t>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</si>
  <si>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ATP17</t>
  </si>
  <si>
    <t>YDR377W</t>
  </si>
  <si>
    <t>Subunit f of the F0 sector of mitochondrial F1F0 ATP synthase; F1F0 ATP synthase is a large, evolutionarily conserved enzyme complex required for ATP synthesis</t>
  </si>
  <si>
    <t>ATP18</t>
  </si>
  <si>
    <t>YML081C-A</t>
  </si>
  <si>
    <t>Subunit of the mitochondrial F1F0 ATP synthase; F1F0 ATP synthase is a large, evolutionarily conserved enzyme complex required for ATP synthesis; termed subunit I or subunit j; does not correspond to known ATP synthase subunits in other organisms</t>
  </si>
  <si>
    <t>ATP19</t>
  </si>
  <si>
    <t>YOL077W-A</t>
  </si>
  <si>
    <t>Subunit k of the mitochondrial F1F0 ATP synthase; F1F0 ATP synthase is a large, evolutionarily conserved enzyme complex required for ATP synthesis; associated only with the dimeric form of ATP synthase</t>
  </si>
  <si>
    <t>ATP2</t>
  </si>
  <si>
    <t>YJR121W</t>
  </si>
  <si>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</si>
  <si>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ATP20</t>
  </si>
  <si>
    <t>YPR020W</t>
  </si>
  <si>
    <t>Subunit g of the mitochondrial F1F0 ATP synthase; reversibly phosphorylated on two residues; unphosphorylated form is required for dimerization of the ATP synthase complex, which in turn determines oligomerization of the complex and the shape of inner membrane cristae</t>
  </si>
  <si>
    <t>ATP22</t>
  </si>
  <si>
    <t>YDR350C</t>
  </si>
  <si>
    <t>Specific translational activator for the mitochondrial ATP6 mRNA; Atp6p encodes a subunit of F1F0 ATP synthase; localized to the mitochondrial inner membrane</t>
  </si>
  <si>
    <t>ATP23</t>
  </si>
  <si>
    <t>YNR020C</t>
  </si>
  <si>
    <t>Putative metalloprotease of the mitochondrial inner membrane; required for processing of Atp6p; has an additional role in assembly of the F0 sector of the F1F0 ATP synthase complex; substrate of the Mia40p-Erv1p disulfide relay system, and folding is assisted by Mia40p</t>
  </si>
  <si>
    <t>ATP25</t>
  </si>
  <si>
    <t>YMR098C</t>
  </si>
  <si>
    <t>Mitochondrial protein required for the stability of Oli1p (Atp9p) mRNA; also required for the Oli1p ring formation; YMR098C is not an essential gene</t>
  </si>
  <si>
    <t>ATP3</t>
  </si>
  <si>
    <t>YBR039W</t>
  </si>
  <si>
    <t>Gamma subunit of the F1 sector of mitochondrial F1F0 ATP synthase; F1F0 ATP synthase is a large, evolutionarily conserved enzyme complex required for ATP synthesis</t>
  </si>
  <si>
    <t>ATP4</t>
  </si>
  <si>
    <t>YPL078C</t>
  </si>
  <si>
    <t>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</si>
  <si>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ATP5</t>
  </si>
  <si>
    <t>YDR298C</t>
  </si>
  <si>
    <t>Subunit 5 of the stator stalk of mitochondrial F1F0 ATP synthase; F1F0 ATP synthase is a large, evolutionarily conserved enzyme complex required for ATP synthesis; homologous to bovine subunit OSCP (oligomycin sensitivity-conferring protein); phosphorylated</t>
  </si>
  <si>
    <t>ATP6</t>
  </si>
  <si>
    <t>Q0085</t>
  </si>
  <si>
    <t>Subunit a of the F0 sector of mitochondrial F1F0 ATP synthase; mitochondrially encoded; translation is specifically activated by Atp22p; ATP6 and ATP8 mRNAs are not translated in the absence of the F1 sector of ATPase</t>
  </si>
  <si>
    <t>ATP7</t>
  </si>
  <si>
    <t>YKL016C</t>
  </si>
  <si>
    <t>Subunit d of the stator stalk of mitochondrial F1F0 ATP synthase; F1F0 ATP synthase is a large, evolutionarily conserved enzyme complex required for ATP synthesis</t>
  </si>
  <si>
    <t>ATP8</t>
  </si>
  <si>
    <t>Q0080</t>
  </si>
  <si>
    <t>Subunit 8 of the F0 sector of mitochondrial F1F0 ATP synthase; encoded on the mitochondrial genome; ATP8 and ATP6 mRNAs are not translated in the absence of the F1 sector of ATPase</t>
  </si>
  <si>
    <t>AYR1</t>
  </si>
  <si>
    <t>YIL124W</t>
  </si>
  <si>
    <t>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t>
  </si>
  <si>
    <t>BAT1</t>
  </si>
  <si>
    <t>YHR208W</t>
  </si>
  <si>
    <t>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</si>
  <si>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BBC1</t>
  </si>
  <si>
    <t>YJL020C</t>
  </si>
  <si>
    <t>Protein possibly involved in assembly of actin patches; interacts with an actin assembly factor Las17p and with the SH3 domains of Type I myosins Myo3p and Myo5p; localized predominantly to cortical actin patches</t>
  </si>
  <si>
    <t>BCS1</t>
  </si>
  <si>
    <t>YDR375C</t>
  </si>
  <si>
    <t>Protein translocase and chaperone required for Complex III assembly; member of the AAA ATPase family; forms a homo-oligomeric complex in the mitochondrial inner membrane that translocates the C-terminal domain of Rip1p from the matrix across the inner membrane, and then delivers it to an assembly intermediate of respiratory Complex III in an ATP-dependent reaction; also required for assembly of the Qcr10p subunit; mutations in human homolog BCS1L linked to neonatal diseases</t>
  </si>
  <si>
    <t>BGL2</t>
  </si>
  <si>
    <t>YGR282C</t>
  </si>
  <si>
    <t>Endo-beta-1,3-glucanase; major protein of the cell wall, involved in cell wall maintenance; involved in incorporation of newly synthesized mannoprotein molecules into the cell wall</t>
  </si>
  <si>
    <t>BI2</t>
  </si>
  <si>
    <t>Q0110</t>
  </si>
  <si>
    <t>Mitochondrial mRNA maturase with a role in splicing; encoded by both exon and intron sequences of partially processed COB mRNA</t>
  </si>
  <si>
    <t>BI4</t>
  </si>
  <si>
    <t>Q0120</t>
  </si>
  <si>
    <t>Mitochondrial mRNA maturase; forms a complex with Nam2p to mediate splicing of the bI4 intron of the COB gene; encoded by both exon and intron sequences of partially processed COB mRNA</t>
  </si>
  <si>
    <t>BIO2</t>
  </si>
  <si>
    <t>YGR286C</t>
  </si>
  <si>
    <t>Biotin synthase; catalyzes the conversion of dethiobiotin to biotin, which is the last step of the biotin biosynthesis pathway; complements E. coli bioB mutant</t>
  </si>
  <si>
    <t>BMH1</t>
  </si>
  <si>
    <t>YER177W</t>
  </si>
  <si>
    <t>14-3-3 protein, major isoform; controls proteome at post-transcriptional level, binds proteins and DNA, involved in regulation of exocytosis, vesicle transport, Ras/MAPK and rapamycin-sensitive signaling, aggresome formation, spindle position checkpoint; protein increases in abundance and relative distribution to the nucleus increases upon DNA replication stress; antiapoptotic gene similar to human 14-3-3; BMH1 has a paralog, BMH2, that arose from whole genome duplication</t>
  </si>
  <si>
    <t>BMH2</t>
  </si>
  <si>
    <t>YDR099W</t>
  </si>
  <si>
    <t>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t>
  </si>
  <si>
    <t>BNA3</t>
  </si>
  <si>
    <t>YJL060W</t>
  </si>
  <si>
    <t>Kynurenine aminotransferase; catalyzes formation of kynurenic acid from kynurenine; potential Cdc28p substrate</t>
  </si>
  <si>
    <t>BNA4</t>
  </si>
  <si>
    <t>YBL098W</t>
  </si>
  <si>
    <t>Kynurenine 3-mono oxygenase; required for the de novo biosynthesis of NAD from tryptophan via kynurenine; expression regulated by Hst1p; putative therapeutic target for Huntington disease</t>
  </si>
  <si>
    <t>CAB5</t>
  </si>
  <si>
    <t>YDR196C</t>
  </si>
  <si>
    <t>Subunit of the CoA-Synthesizing Protein Complex (CoA-SPC); subunits of this complex are: Cab2p, Cab3p, Cab4p, Cab5p, Sis2p and Vhs3p; probable dephospho-CoA kinase (DPCK) that catalyzes the last step in coenzyme A biosynthesis; null mutant lethality is complemented by E. coli coaE (encoding DPCK); detected in purified mitochondria in high-throughput studies; also localized to lipid droplets</t>
  </si>
  <si>
    <t>CAF4</t>
  </si>
  <si>
    <t>YKR036C</t>
  </si>
  <si>
    <t>WD40 repeat-containing protein associated with the CCR4-NOT complex; interacts in a Ccr4p-dependent manner with Ssn2p; also interacts with Fis1p, Mdv1p and Dnm1p and plays a role in mitochondrial fission; CAF4 has a paralog, MDV1, that arose from the whole genome duplication</t>
  </si>
  <si>
    <t>CAJ1</t>
  </si>
  <si>
    <t>YER048C</t>
  </si>
  <si>
    <t>Nuclear type II J heat shock protein of the E. coli dnaJ family; contains a leucine zipper-like motif, binds to non-native substrates for presentation to Ssa3p, may function during protein translocation, assembly and disassembly</t>
  </si>
  <si>
    <t>CAM1</t>
  </si>
  <si>
    <t>YPL048W</t>
  </si>
  <si>
    <t>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t>
  </si>
  <si>
    <t>CAR2</t>
  </si>
  <si>
    <t>YLR438W</t>
  </si>
  <si>
    <t>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t>
  </si>
  <si>
    <t>CAT2</t>
  </si>
  <si>
    <t>YML042W</t>
  </si>
  <si>
    <t>Carnitine acetyl-CoA transferase; present in both mitochondria and peroxisomes; transfers activated acetyl groups to carnitine to form acetylcarnitine which can be shuttled across membranes</t>
  </si>
  <si>
    <t>CAT5</t>
  </si>
  <si>
    <t>YOR125C</t>
  </si>
  <si>
    <t>Protein required for ubiquinone (Coenzyme Q) biosynthesis; localizes to the matrix face of the mitochondrial inner membrane in a large complex with ubiquinone biosynthetic enzymes; required for gluconeogenic gene activation</t>
  </si>
  <si>
    <t>CBP1</t>
  </si>
  <si>
    <t>YJL209W</t>
  </si>
  <si>
    <t>Mitochondrial protein, regulator of COB mRNA stability and translation; interacts with the 5'-untranslated region of the COB mRNA; found in a complex at the inner membrane along with Pet309p; localizes to mitochondrial foci upon DNA replication stress</t>
  </si>
  <si>
    <t>CBP2</t>
  </si>
  <si>
    <t>YHL038C</t>
  </si>
  <si>
    <t>Required for splicing of the group I intron bI5 of the COB pre-mRNA; nuclear-encoded mitochondrial protein that binds to the RNA to promote splicing; also involved in but not essential for splicing of the COB bI2 intron and the intron in the 21S rRNA gene</t>
  </si>
  <si>
    <t>CBP3</t>
  </si>
  <si>
    <t>YPL215W</t>
  </si>
  <si>
    <t>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</si>
  <si>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CBP4</t>
  </si>
  <si>
    <t>YGR174C</t>
  </si>
  <si>
    <t>Mitochondrial protein required for assembly of cytochrome bc1 complex; interacts with the Cbp3p-Cbp6p complex and newly synthesized cytochrome b (Cobp) to promote assembly of Cobp into the cytochrome bc1 complex</t>
  </si>
  <si>
    <t>CBP6</t>
  </si>
  <si>
    <t>YBR120C</t>
  </si>
  <si>
    <t>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</si>
  <si>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CBR1</t>
  </si>
  <si>
    <t>YIL043C</t>
  </si>
  <si>
    <t>Microsomal cytochrome b reductase; not essential for viability; also detected in mitochondria; mutation in conserved NADH binding domain of the human ortholog results in type I methemoglobinemia</t>
  </si>
  <si>
    <t>CBS2</t>
  </si>
  <si>
    <t>YDR197W</t>
  </si>
  <si>
    <t>Mitochondrial translational activator of the COB mRNA; interacts with translating ribosomes, acts on the COB mRNA 5'-untranslated leader</t>
  </si>
  <si>
    <t>CBT1</t>
  </si>
  <si>
    <t>YKL208W</t>
  </si>
  <si>
    <t>Protein involved in 5' RNA end processing; substrates include mitochondrial COB, 15S_rRNA, and RPM1 transcripts; may also have a role in 3' end processing of the COB pre-mRNA; displays genetic interaction with cell cycle-regulated kinase Dbf2p</t>
  </si>
  <si>
    <t>CCA1</t>
  </si>
  <si>
    <t>YER168C</t>
  </si>
  <si>
    <t>ATP (CTP):tRNA-specific tRNA nucleotidyltransferase; different forms targeted to the nucleus, cytosol, and mitochondrion are generated via the use of multiple transcriptional and translational start sites</t>
  </si>
  <si>
    <t>CCE1</t>
  </si>
  <si>
    <t>YKL011C</t>
  </si>
  <si>
    <t>Mitochondrial cruciform cutting endonuclease; cleaves Holliday junctions formed during recombination of mitochondrial DNA; CCE1 has a paralog, MRS1, that arose from the whole genome duplication</t>
  </si>
  <si>
    <t>CCM1</t>
  </si>
  <si>
    <t>YGR150C</t>
  </si>
  <si>
    <t>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t>
  </si>
  <si>
    <t>CCP1</t>
  </si>
  <si>
    <t>YKR066C</t>
  </si>
  <si>
    <t>Mitochondrial cytochrome-c peroxidase; degrades reactive oxygen species in mitochondria, involved in the response to oxidative stress</t>
  </si>
  <si>
    <t>CCS1</t>
  </si>
  <si>
    <t>YMR038C</t>
  </si>
  <si>
    <t>Copper chaperone for superoxide dismutase Sod1p; involved in oxidative stress protection; Met-X-Cys-X2-Cys motif within the N-terminal portion is involved in insertion of copper into Sod1p under conditions of copper deprivation; required for regulation of yeast copper genes in response to DNA-damaging agents; protein abundance increases in response to DNA replication stress</t>
  </si>
  <si>
    <t>CDC19</t>
  </si>
  <si>
    <t>YAL038W</t>
  </si>
  <si>
    <t>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</si>
  <si>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CDC20</t>
  </si>
  <si>
    <t>YGL116W</t>
  </si>
  <si>
    <t>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t>
  </si>
  <si>
    <t>CDC42</t>
  </si>
  <si>
    <t>YLR229C</t>
  </si>
  <si>
    <t>Small rho-like GTPase; essential for establishment and maintenance of cell polarity; plays a role late in cell fusion via activation of key cell fusion regulator Fus2p; mutants have defects in the organization of actin and septins</t>
  </si>
  <si>
    <t>CDC48</t>
  </si>
  <si>
    <t>YDL126C</t>
  </si>
  <si>
    <t>AAA ATPase; subunit of polyubiquitin-selective segregase complex involved in ERAD, cell wall integrity during heat stress, mitotic spindle disassembly; subunit of complex involved in mitochondria-associated degradation; role in mobilizing membrane bound transcription factors by regulated ubiquitin/proteasome-dependent processing, in macroautophagy, PMN, RAD, ribophagy, homotypic ER membrane fusion, disassembly of Met30p from SCF complex; functional ortholog of human p97/VCP</t>
  </si>
  <si>
    <t>CDC9</t>
  </si>
  <si>
    <t>YDL164C</t>
  </si>
  <si>
    <t>DNA ligase found in the nucleus and mitochondria; an essential enzyme that joins Okazaki fragments during DNA replication; also acts in ribonucleotide excision repair, base excision repair, and recombination,</t>
  </si>
  <si>
    <t>CDS1</t>
  </si>
  <si>
    <t>YBR029C</t>
  </si>
  <si>
    <t>Phosphatidate cytidylyltransferase (CDP-diglyceride synthetase); an enzyme that catalyzes that conversion of CTP + phosphate into diphosphate + CDP-diaclglyerol, a critical step in the synthesis of all major yeast phospholipids</t>
  </si>
  <si>
    <t>CEM1</t>
  </si>
  <si>
    <t>YER061C</t>
  </si>
  <si>
    <t>Mitochondrial beta-keto-acyl synthase; possible role in fatty acid synthesis; required for mitochondrial respiration</t>
  </si>
  <si>
    <t>CHO1</t>
  </si>
  <si>
    <t>YER026C</t>
  </si>
  <si>
    <t>Phosphatidylserine synthase; functions in phospholipid biosynthesis; catalyzes the reaction CDP-diaclyglycerol + L-serine = CMP + L-1-phosphatidylserine, transcriptionally repressed by myo-inositol and choline</t>
  </si>
  <si>
    <t>CIR1</t>
  </si>
  <si>
    <t>YGR207C</t>
  </si>
  <si>
    <t>Mitochondrial protein that interacts with frataxin (Yfh1p); putative ortholog of mammalian electron transfer flavoprotein complex subunit ETF-beta; may have a role in oxidative stress response</t>
  </si>
  <si>
    <t>CIR2</t>
  </si>
  <si>
    <t>YOR356W</t>
  </si>
  <si>
    <t>Putative ortholog of human ETF-dH; found in a large supramolecular complex with other mitochondrial dehydrogenases; may have a role in oxidative stress response; ETF-dH is also known as electron transfer flavoprotein dehydrogenase</t>
  </si>
  <si>
    <t>CIT1</t>
  </si>
  <si>
    <t>YNR001C</t>
  </si>
  <si>
    <t>Citrate synthase; catalyzes the condensation of acetyl coenzyme A and oxaloacetate to form citrate; the rate-limiting enzyme of the TCA cycle; nuclear encoded mitochondrial protein; CIT1 has a paralog, CIT2, that arose from the whole genome duplication</t>
  </si>
  <si>
    <t>CIT2</t>
  </si>
  <si>
    <t>YCR005C</t>
  </si>
  <si>
    <t>Citrate synthase; catalyzes the condensation of acetyl coenzyme A and oxaloacetate to form citrate, peroxisomal isozyme involved in glyoxylate cycle; expression is controlled by Rtg1p and Rtg2p transcription factors; CIT2 has a paralog, CIT1, that arose from the whole genome duplication</t>
  </si>
  <si>
    <t>CIT3</t>
  </si>
  <si>
    <t>YPR001W</t>
  </si>
  <si>
    <t>Dual specificity mitochondrial citrate and methylcitrate synthase; catalyzes the condensation of acetyl-CoA and oxaloacetate to form citrate and that of propionyl-CoA and oxaloacetate to form 2-methylcitrate</t>
  </si>
  <si>
    <t>CLD1</t>
  </si>
  <si>
    <t>YGR110W</t>
  </si>
  <si>
    <t>Mitochondrial cardiolipin-specific phospholipase; functions upstream of Taz1p to generate monolyso-cardiolipin; transcription increases upon genotoxic stress; involved in restricting Ty1 transposition; has homology to mammalian CGI-58</t>
  </si>
  <si>
    <t>CMC1</t>
  </si>
  <si>
    <t>YKL137W</t>
  </si>
  <si>
    <t>Copper-binding protein of the mitochondrial intermembrane space; evolutionarily conserved; may be involved in delivering copper from the matrix to the cytochrome c oxidase complex; contains a twin CX9C motif</t>
  </si>
  <si>
    <t>CMC2</t>
  </si>
  <si>
    <t>YBL059C-A</t>
  </si>
  <si>
    <t>Protein involved in respiratory chain complex assembly or maintenance; protein of the mitochondrial intermembrane space; contains twin Cx9C motifs that can form coiled coil-helix-coiled-coil helix fold</t>
  </si>
  <si>
    <t>CMC4</t>
  </si>
  <si>
    <t>YMR194C-B</t>
  </si>
  <si>
    <t>Protein that localizes to the mitochondrial intermembrane space; localizes via the Mia40p-Erv1p system; contains twin cysteine-x(9)-cysteine motifs</t>
  </si>
  <si>
    <t>CMD1</t>
  </si>
  <si>
    <t>YBR109C</t>
  </si>
  <si>
    <t>Calmodulin; Ca++ binding protein that regulates Ca++ independent processes (mitosis, bud growth, actin organization, endocytosis, etc.) and Ca++ dependent processes (stress-activated pathways), targets include Nuf1p, Myo2p and calcineurin</t>
  </si>
  <si>
    <t>COA1</t>
  </si>
  <si>
    <t>YIL157C</t>
  </si>
  <si>
    <t>Mitochondrial inner membrane protein; required for assembly of the cytochrome c oxidase complex (complex IV); interacts with complex IV assembly factor Shy1p during the early stages of assembly</t>
  </si>
  <si>
    <t>COA3</t>
  </si>
  <si>
    <t>YJL062W-A</t>
  </si>
  <si>
    <t>Mitochondrial protein required for cytochrome c oxidase assembly; also involved in translational regulation of Cox1p and prevention of Cox1p aggregation before assembly; located in the mitochondrial inner membrane</t>
  </si>
  <si>
    <t>COA4</t>
  </si>
  <si>
    <t>YLR218C</t>
  </si>
  <si>
    <t>Twin Cx(9)C protein involved in cytochrome c oxidase organization; organization includes assembly or stability; localizes to the mitochondrial intermembrane space via the Mia40p-Erv1p system; interacts genetically with CYC1 and with cytochrome c oxidase assembly factors</t>
  </si>
  <si>
    <t>COA6</t>
  </si>
  <si>
    <t>YMR244C-A</t>
  </si>
  <si>
    <t>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t>
  </si>
  <si>
    <t>COF1</t>
  </si>
  <si>
    <t>YLL050C</t>
  </si>
  <si>
    <t>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t>
  </si>
  <si>
    <t>COQ1</t>
  </si>
  <si>
    <t>YBR003W</t>
  </si>
  <si>
    <t>Hexaprenyl pyrophosphate synthetase; catalyzes the first step in ubiquinone (coenzyme Q) biosynthesis</t>
  </si>
  <si>
    <t>COQ10</t>
  </si>
  <si>
    <t>YOL008W</t>
  </si>
  <si>
    <t>Coenzyme Q (ubiquinone) binding protein; functions in the delivery of Q&lt;sub&gt;6&lt;/sub&gt; to its proper location for electron transport during respiration; START domain protein with homologs in bacteria and eukaryotes</t>
  </si>
  <si>
    <t>COQ2</t>
  </si>
  <si>
    <t>YNR041C</t>
  </si>
  <si>
    <t>Para hydroxybenzoate polyprenyl transferase; catalyzes the second step in ubiquinone (coenzyme Q) biosynthesis; human COQ2, mutations in which are implicated in an increased risk of mutiple-system atrophy, is able to complement a yeast coq2 null mutant</t>
  </si>
  <si>
    <t>COQ3</t>
  </si>
  <si>
    <t>YOL096C</t>
  </si>
  <si>
    <t>O-methyltransferase; catalyzes two different O-methylation steps in ubiquinone (Coenzyme Q) biosynthesis; component of a mitochondrial ubiquinone-synthesizing complex; phosphoprotein</t>
  </si>
  <si>
    <t>COQ4</t>
  </si>
  <si>
    <t>YDR204W</t>
  </si>
  <si>
    <t>Protein with a role in ubiquinone (Coenzyme Q) biosynthesis; possibly functioning in stabilization of Coq7p; located on the matrix face of the mitochondrial inner membrane; component of a mitochondrial ubiquinone-synthesizing complex</t>
  </si>
  <si>
    <t>COQ5</t>
  </si>
  <si>
    <t>YML110C</t>
  </si>
  <si>
    <t>2-hexaprenyl-6-methoxy-1,4-benzoquinone methyltransferase; involved in ubiquinone (Coenzyme Q) biosynthesis; localizes to the matrix face of the mitochondrial inner membrane in a large complex with other ubiquinone biosynthetic enzymes</t>
  </si>
  <si>
    <t>COQ6</t>
  </si>
  <si>
    <t>YGR255C</t>
  </si>
  <si>
    <t>Putative flavin-dependent monooxygenase; involved in ubiquinone (Coenzyme Q) biosynthesis; localizes to the matrix face of the mitochondrial inner membrane in a large complex with other ubiquinone biosynthetic enzymes; human COX6 can rescue a yeast cox6 mutant and is implicated in steroid-resistant nephrotic syndrome (SRNS)</t>
  </si>
  <si>
    <t>COQ8</t>
  </si>
  <si>
    <t>YGL119W</t>
  </si>
  <si>
    <t>Protein required for ubiquinone biosynthesis and respiratory growth; exhibits genetic interaction with COQ9, suggesting a common function; similar to prokaryotic proteins involved in early steps of ubiquinone biosynthesis; COQ8 has a paralog, YBR230W-A, that arose from the whole genome duplication</t>
  </si>
  <si>
    <t>COQ9</t>
  </si>
  <si>
    <t>YLR201C</t>
  </si>
  <si>
    <t>Protein required for ubiquinone biosynthesis and respiratory growth; localizes to the matrix face of the mitochondrial inner membrane in a large complex with ubiquinone biosynthetic enzymes; ubiquinone is also known as coenzyme Q</t>
  </si>
  <si>
    <t>COR1</t>
  </si>
  <si>
    <t>YBL045C</t>
  </si>
  <si>
    <t>Core subunit of the ubiquinol-cytochrome c reductase complex; the ubiquinol-cytochrome c reductase complex (bc1 complex) is a component of the mitochondrial inner membrane electron transport chain</t>
  </si>
  <si>
    <t>COX1</t>
  </si>
  <si>
    <t>Q0045</t>
  </si>
  <si>
    <t>Subunit I of cytochrome c oxidase (Complex IV); Complex IV is the terminal member of the mitochondrial inner membrane electron transport chain; one of three mitochondrially-encoded subunits</t>
  </si>
  <si>
    <t>COX10</t>
  </si>
  <si>
    <t>YPL172C</t>
  </si>
  <si>
    <t>Heme A:farnesyltransferase; catalyzes the first step in the conversion of protoheme to the heme A prosthetic group required for cytochrome c oxidase activity; human ortholog is associated with mitochondrial disorders</t>
  </si>
  <si>
    <t>COX11</t>
  </si>
  <si>
    <t>YPL132W</t>
  </si>
  <si>
    <t>Protein required for delivery of copper to Cox1p; mitochondrial inner membrane protein; association with mitochondrial ribosomes suggests that copper delivery may occur during translation of Cox1p</t>
  </si>
  <si>
    <t>COX12</t>
  </si>
  <si>
    <t>YLR038C</t>
  </si>
  <si>
    <t>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t>
  </si>
  <si>
    <t>COX13</t>
  </si>
  <si>
    <t>YGL191W</t>
  </si>
  <si>
    <t>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</si>
  <si>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COX14</t>
  </si>
  <si>
    <t>YML129C</t>
  </si>
  <si>
    <t>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t>
  </si>
  <si>
    <t>COX15</t>
  </si>
  <si>
    <t>YER141W</t>
  </si>
  <si>
    <t>Protein required for the hydroxylation of heme O to form heme A; heme A is an essential prosthetic group for cytochrome c oxidase</t>
  </si>
  <si>
    <t>COX16</t>
  </si>
  <si>
    <t>YJL003W</t>
  </si>
  <si>
    <t>Mitochondrial inner membrane protein; required for assembly of cytochrome c oxidase</t>
  </si>
  <si>
    <t>COX17</t>
  </si>
  <si>
    <t>YLL009C</t>
  </si>
  <si>
    <t>Copper metallochaperone that transfers copper to Sco1p and Cox11p; eventual delivery to cytochrome c oxidase; contains twin cysteine-x9-cysteine motifs</t>
  </si>
  <si>
    <t>COX18</t>
  </si>
  <si>
    <t>YGR062C</t>
  </si>
  <si>
    <t>Protein required for membrane insertion of C-terminus of Cox2p; mitochondrial integral inner membrane protein; interacts genetically and physically with Mss2p and Pnt1p; similar to S. cerevisiae Oxa1, N. crassa Oxa2p, and E. coli YidC</t>
  </si>
  <si>
    <t>COX19</t>
  </si>
  <si>
    <t>YLL018C-A</t>
  </si>
  <si>
    <t>Protein required for cytochrome c oxidase assembly; located in the cytosol and mitochondrial intermembrane space; putative copper metallochaperone that delivers copper to cytochrome c oxidase; contains twin cysteine-x9-cysteine motifs</t>
  </si>
  <si>
    <t>COX2</t>
  </si>
  <si>
    <t>Q0250</t>
  </si>
  <si>
    <t>Subunit II of cytochrome c oxidase (Complex IV); Complex IV is the terminal member of the mitochondrial inner membrane electron transport chain; one of three mitochondrially-encoded subunits</t>
  </si>
  <si>
    <t>COX20</t>
  </si>
  <si>
    <t>YDR231C</t>
  </si>
  <si>
    <t>Mitochondrial inner membrane protein; required for proteolytic processing of Cox2p and its assembly into cytochrome c oxidase</t>
  </si>
  <si>
    <t>COX23</t>
  </si>
  <si>
    <t>YHR116W</t>
  </si>
  <si>
    <t>Protein that functions in mitochondrial copper homeostasis; mitochondrial intermembrane space protein; essential for functional cytochrome oxidase expression; homologous to Cox17p; contains twin cysteine-x9-cysteine motifs</t>
  </si>
  <si>
    <t>COX26</t>
  </si>
  <si>
    <t>YDR119W-A</t>
  </si>
  <si>
    <t>Putative protein of unknown function; copurifies with respiratory chain supercomplexes composed of Complex III (ubiquinol-cytochrome c reductase) and Complex IV (cytochrome c oxidase)</t>
  </si>
  <si>
    <t>COX3</t>
  </si>
  <si>
    <t>Q0275</t>
  </si>
  <si>
    <t>Subunit III of cytochrome c oxidase (Complex IV); Complex IV is the terminal member of the mitochondrial inner membrane electron transport chain; one of three mitochondrially-encoded subunits</t>
  </si>
  <si>
    <t>COX4</t>
  </si>
  <si>
    <t>YGL187C</t>
  </si>
  <si>
    <t>Subunit IV of cytochrome c oxidase; the terminal member of the mitochondrial inner membrane electron transport chain; precursor N-terminal 25 residues are cleaved during mitochondrial import; phosphorylated; spermidine enhances translation</t>
  </si>
  <si>
    <t>COX5A</t>
  </si>
  <si>
    <t>YNL052W</t>
  </si>
  <si>
    <t>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</si>
  <si>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COX5B</t>
  </si>
  <si>
    <t>YIL111W</t>
  </si>
  <si>
    <t>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</si>
  <si>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COX6</t>
  </si>
  <si>
    <t>YHR051W</t>
  </si>
  <si>
    <t>Subunit VI of cytochrome c oxidase (Complex IV); Complex IV is the terminal member of the mitochondrial inner membrane electron transport chain; expression is regulated by oxygen levels</t>
  </si>
  <si>
    <t>COX7</t>
  </si>
  <si>
    <t>YMR256C</t>
  </si>
  <si>
    <t>Subunit VII of cytochrome c oxidase (Complex IV); Complex IV is the terminal member of the mitochondrial inner membrane electron transport chain</t>
  </si>
  <si>
    <t>COX8</t>
  </si>
  <si>
    <t>YLR395C</t>
  </si>
  <si>
    <t>Subunit VIII of cytochrome c oxidase (Complex IV); Complex IV is the terminal member of the mitochondrial inner membrane electron transport chain</t>
  </si>
  <si>
    <t>COX9</t>
  </si>
  <si>
    <t>YDL067C</t>
  </si>
  <si>
    <t>Subunit VIIa of cytochrome c oxidase (Complex IV); Complex IV is the terminal member of the mitochondrial inner membrane electron transport chain</t>
  </si>
  <si>
    <t>CPR1</t>
  </si>
  <si>
    <t>YDR155C</t>
  </si>
  <si>
    <t>Cytoplasmic peptidyl-prolyl cis-trans isomerase (cyclophilin); catalyzes the cis-trans isomerization of peptide bonds N-terminal to proline residues; binds the drug cyclosporin A; N-terminally propionylated in vivo; protein abundance increases in response to DNA replication stress</t>
  </si>
  <si>
    <t>CPR3</t>
  </si>
  <si>
    <t>YML078W</t>
  </si>
  <si>
    <t>Mitochondrial peptidyl-prolyl cis-trans isomerase (cyclophilin); catalyzes the cis-trans isomerization of peptide bonds N-terminal to proline residues; involved in protein refolding after import into mitochondria</t>
  </si>
  <si>
    <t>CPR5</t>
  </si>
  <si>
    <t>YDR304C</t>
  </si>
  <si>
    <t>Peptidyl-prolyl cis-trans isomerase (cyclophilin) of the ER; catalyzes the cis-trans isomerization of peptide bonds N-terminal to proline residues; transcriptionally induced in response to unfolded proteins in the ER; CPR5 has a paralog, CPR2, that arose from the whole genome duplication</t>
  </si>
  <si>
    <t>CRC1</t>
  </si>
  <si>
    <t>YOR100C</t>
  </si>
  <si>
    <t>Mitochondrial inner membrane carnitine transporter; required for carnitine-dependent transport of acetyl-CoA from peroxisomes to mitochondria during fatty acid beta-oxidation</t>
  </si>
  <si>
    <t>CRD1</t>
  </si>
  <si>
    <t>YDL142C</t>
  </si>
  <si>
    <t>Cardiolipin synthase; produces cardiolipin, which is a phospholipid of the mitochondrial inner membrane that is required for normal mitochondrial membrane potential and function; required to maintain tubular mitochondrial morphology and functions in mitochondrial fusion; also required for normal vacuolar ion homeostasis</t>
  </si>
  <si>
    <t>CRP1</t>
  </si>
  <si>
    <t>YHR146W</t>
  </si>
  <si>
    <t>Protein that binds to cruciform DNA structures; CRP1 has a paralog, MDG1, that arose from the whole genome duplication</t>
  </si>
  <si>
    <t>CTP1</t>
  </si>
  <si>
    <t>YBR291C</t>
  </si>
  <si>
    <t>Mitochondrial inner membrane citrate transporter; member of the mitochondrial carrier family</t>
  </si>
  <si>
    <t>CWH41</t>
  </si>
  <si>
    <t>YGL027C</t>
  </si>
  <si>
    <t>Processing alpha glucosidase I; ER type II integral membrane N-glycoprotein involved in assembly of cell wall beta 1,6 glucan and asparagine-linked protein glycosylation; also involved in ER protein quality control and sensing of ER stress</t>
  </si>
  <si>
    <t>CYB2</t>
  </si>
  <si>
    <t>YML054C</t>
  </si>
  <si>
    <t>Cytochrome b2 (L-lactate cytochrome-c oxidoreductase); component of the mitochondrial intermembrane space, required for lactate utilization; expression is repressed by glucose and anaerobic conditions</t>
  </si>
  <si>
    <t>CYC1</t>
  </si>
  <si>
    <t>YJR048W</t>
  </si>
  <si>
    <t>Cytochrome c, isoform 1; also known as iso-1-cytochrome c; electron carrier of the mitochondrial intermembrane space that transfers electrons from ubiquinone-cytochrome c oxidoreductase to cytochrome c oxidase during cellular respiration; mutations in human homolog cause insulin-responsive hyperglycemia; CYC1 has a paralog, CYC7, that arose from the whole genome duplication</t>
  </si>
  <si>
    <t>CYC2</t>
  </si>
  <si>
    <t>YOR037W</t>
  </si>
  <si>
    <t>Mitochondrial peripheral inner membrane protein; contains a FAD cofactor in a domain exposed in the intermembrane space; exhibits redox activity in vitro; likely participates in ligation of heme to acytochromes c and c1 (Cyc1p and Cyt1p)</t>
  </si>
  <si>
    <t>CYC3</t>
  </si>
  <si>
    <t>YAL039C</t>
  </si>
  <si>
    <t>Cytochrome c heme lyase (holocytochrome c synthase); attaches heme to apo-cytochrome c (Cyc1p or Cyc7p) in the mitochondrial intermembrane space; human ortholog may have a role in microphthalmia with linear skin defects (MLS)</t>
  </si>
  <si>
    <t>CYC7</t>
  </si>
  <si>
    <t>YEL039C</t>
  </si>
  <si>
    <t>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</si>
  <si>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CYM1</t>
  </si>
  <si>
    <t>YDR430C</t>
  </si>
  <si>
    <t>Lysine-specific metalloprotease of the pitrilysin family; metalloprotease of the intermembrane space; degrades proteins and presequence peptides cleaved from imported proteins; required for normal mitochondrial morphology</t>
  </si>
  <si>
    <t>CYT1</t>
  </si>
  <si>
    <t>YOR065W</t>
  </si>
  <si>
    <t>Cytochrome c1; component of the mitochondrial respiratory chain; expression is regulated by the heme-activated, glucose-repressed Hap2p/3p/4p/5p CCAAT-binding complex</t>
  </si>
  <si>
    <t>CYT2</t>
  </si>
  <si>
    <t>YKL087C</t>
  </si>
  <si>
    <t>Cytochrome c1 heme lyase; involved in maturation of cytochrome c1, which is a subunit of the mitochondrial ubiquinol-cytochrome-c reductase; links heme covalently to apocytochrome c1</t>
  </si>
  <si>
    <t>DFM1</t>
  </si>
  <si>
    <t>YDR411C</t>
  </si>
  <si>
    <t>Endoplasmic reticulum (ER) localized protein; involved in ER-associated protein degradation (ERAD), ER stress, and homeostasis; interacts with components of ERAD-L and ERAD-C and Cdc48p; derlin-like family member similar to Der1p</t>
  </si>
  <si>
    <t>DFR1</t>
  </si>
  <si>
    <t>YOR236W</t>
  </si>
  <si>
    <t>Dihydrofolate reductase involved in tetrahydrofolate biosynthesis; required for respiratory metabolism</t>
  </si>
  <si>
    <t>DIA4</t>
  </si>
  <si>
    <t>YHR011W</t>
  </si>
  <si>
    <t>Probable mitochondrial seryl-tRNA synthetase; mutant displays increased invasive and pseudohyphal growth</t>
  </si>
  <si>
    <t>DIC1</t>
  </si>
  <si>
    <t>YLR348C</t>
  </si>
  <si>
    <t>Mitochondrial dicarboxylate carrier; integral membrane protein, catalyzes a dicarboxylate-phosphate exchange across the inner mitochondrial membrane, transports cytoplasmic dicarboxylates into the mitochondrial matrix</t>
  </si>
  <si>
    <t>DID2</t>
  </si>
  <si>
    <t>YKR035W-A</t>
  </si>
  <si>
    <t>Class E protein of the vacuolar protein-sorting (Vps) pathway; binds Vps4p and directs it to dissociate ESCRT-III complexes; forms a functional and physical complex with Ist1p; human ortholog may be altered in breast tumors</t>
  </si>
  <si>
    <t>DLD1</t>
  </si>
  <si>
    <t>YDL174C</t>
  </si>
  <si>
    <t>D-lactate dehydrogenase; oxidizes D-lactate to pyruvate, transcription is heme-dependent, repressed by glucose, and derepressed in ethanol or lactate; located in the mitochondrial inner membrane</t>
  </si>
  <si>
    <t>DLD2</t>
  </si>
  <si>
    <t>YDL178W</t>
  </si>
  <si>
    <t>D-lactate dehydrogenase; located in the mitochondrial matrix</t>
  </si>
  <si>
    <t>DNF1</t>
  </si>
  <si>
    <t>YER166W</t>
  </si>
  <si>
    <t>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t>
  </si>
  <si>
    <t>DPM1</t>
  </si>
  <si>
    <t>YPR183W</t>
  </si>
  <si>
    <t>Dolichol phosphate mannose (Dol-P-Man) synthase of the ER membrane; catalyzes the formation of Dol-P-Man from Dol-P and GDP-Man; required for glycosyl phosphatidylinositol membrane anchoring, O mannosylation, and protein glycosylation</t>
  </si>
  <si>
    <t>DSS1</t>
  </si>
  <si>
    <t>YMR287C</t>
  </si>
  <si>
    <t>3'-5' exoribonuclease; component of the mitochondrial degradosome along with the ATP-dependent RNA helicase Suv3p; the degradosome associates with the ribosome and mediates turnover of aberrant or unprocessed RNAs</t>
  </si>
  <si>
    <t>DUG1</t>
  </si>
  <si>
    <t>YFR044C</t>
  </si>
  <si>
    <t>Cys-Gly metallo-di-peptidase; forms a complex with Dug2p and Dug3p to degrade glutathione (GSH) and other peptides containing a gamma-glu-X bond in an alternative pathway to GSH degradation by gamma-glutamyl transpeptidase (Ecm38p)</t>
  </si>
  <si>
    <t>ECM10</t>
  </si>
  <si>
    <t>YEL030W</t>
  </si>
  <si>
    <t>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t>
  </si>
  <si>
    <t>ECM19</t>
  </si>
  <si>
    <t>YLR390W</t>
  </si>
  <si>
    <t>Putative protein of unknown function; the authentic, non-tagged protein is detected in highly purified mitochondria in high-throughput studies</t>
  </si>
  <si>
    <t>ECM31</t>
  </si>
  <si>
    <t>YBR176W</t>
  </si>
  <si>
    <t>Ketopantoate hydroxymethyltransferase; required for pantothenic acid biosynthesis, converts 2-oxoisovalerate into 2-dehydropantoate</t>
  </si>
  <si>
    <t>ECM33</t>
  </si>
  <si>
    <t>YBR078W</t>
  </si>
  <si>
    <t>GPI-anchored protein of unknown function; possible role in apical bud growth; GPI-anchoring on the plasma membrane crucial to function; phosphorylated in mitochondria; similar to Sps2p; ECM33 has a paralog, PST1, that arose from the whole genome duplication</t>
  </si>
  <si>
    <t>ECM4</t>
  </si>
  <si>
    <t>YKR076W</t>
  </si>
  <si>
    <t>Omega class glutathione transferase; not essential; similar to Ygr154cp; green fluorescent protein (GFP)-fusion protein localizes to the cytoplasm</t>
  </si>
  <si>
    <t>EDE1</t>
  </si>
  <si>
    <t>YBL047C</t>
  </si>
  <si>
    <t>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t>
  </si>
  <si>
    <t>EFR3</t>
  </si>
  <si>
    <t>YMR212C</t>
  </si>
  <si>
    <t>Protein required for Stt4-containing PI kinase complex localization; required for Stt4-containing phosphoinositide (PI) kinase patch assembly at the plasma membrane; recruited to the plasma membrane via a conserved basic patch near its N-terminus; exhibits synthetic lethal genetic interactions with PHO85; has sequence similarity to the Drosophila rolling blackout (RBO) gene</t>
  </si>
  <si>
    <t>EHD3</t>
  </si>
  <si>
    <t>YDR036C</t>
  </si>
  <si>
    <t>3-hydroxyisobutyryl-CoA hydrolase; member of a family of enoyl-CoA hydratase/isomerases; non-tagged protein is detected in highly purified mitochondria in high-throughput studies; phosphorylated; mutation affects fluid-phase endocytosis</t>
  </si>
  <si>
    <t>EHT1</t>
  </si>
  <si>
    <t>YBR177C</t>
  </si>
  <si>
    <t>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t>
  </si>
  <si>
    <t>EIS1</t>
  </si>
  <si>
    <t>YMR031C</t>
  </si>
  <si>
    <t>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t>
  </si>
  <si>
    <t>EMI1</t>
  </si>
  <si>
    <t>YDR512C</t>
  </si>
  <si>
    <t>Non-essential protein of unknown function; required for transcriptional induction of the early meiotic-specific transcription factor IME1, also required for sporulation; contains twin cysteine-x9-cysteine motifs</t>
  </si>
  <si>
    <t>ENO1</t>
  </si>
  <si>
    <t>YGR254W</t>
  </si>
  <si>
    <t>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t>
  </si>
  <si>
    <t>ENO2</t>
  </si>
  <si>
    <t>YHR174W</t>
  </si>
  <si>
    <t>Enolase II, a phosphopyruvate hydratase; catalyzes conversion of 2-phosphoglycerate to phosphoenolpyruvate during glycolysis and the reverse reaction during gluconeogenesis; expression induced in response to glucose; ENO2 has a paralog, ENO1, that arose from the whole genome duplication</t>
  </si>
  <si>
    <t>ERG26</t>
  </si>
  <si>
    <t>YGL001C</t>
  </si>
  <si>
    <t>C-3 sterol dehydrogenase; catalyzes the second of three steps required to remove two C-4 methyl groups from an intermediate in ergosterol biosynthesis</t>
  </si>
  <si>
    <t>ERG27</t>
  </si>
  <si>
    <t>YLR100W</t>
  </si>
  <si>
    <t>3-keto sterol reductase; catalyzes the last of three steps required to remove two C-4 methyl groups from an intermediate in ergosterol biosynthesis; mutants are sterol auxotrophs</t>
  </si>
  <si>
    <t>ERG28</t>
  </si>
  <si>
    <t>YER044C</t>
  </si>
  <si>
    <t>Endoplasmic reticulum membrane protein; may facilitate protein-protein interactions between the Erg26p dehydrogenase and the Erg27p 3-ketoreductase and/or tether these enzymes to the ER, also interacts with Erg6p</t>
  </si>
  <si>
    <t>ERG6</t>
  </si>
  <si>
    <t>YML008C</t>
  </si>
  <si>
    <t>Delta(24)-sterol C-methyltransferase; converts zymosterol to fecosterol in the ergosterol biosynthetic pathway by methylating position C-24; localized to lipid particles, the plasma membrane-associated endoplasmic reticulum, and the mitochondrial outer membrane</t>
  </si>
  <si>
    <t>ERG9</t>
  </si>
  <si>
    <t>YHR190W</t>
  </si>
  <si>
    <t>Farnesyl-diphosphate farnesyl transferase (squalene synthase); joins two farnesyl pyrophosphate moieties to form squalene in the sterol biosynthesis pathway</t>
  </si>
  <si>
    <t>ERJ5</t>
  </si>
  <si>
    <t>YFR041C</t>
  </si>
  <si>
    <t>Type I membrane protein with a J domain; required to preserve the folding capacity of the endoplasmic reticulum; loss of the non-essential ERJ5 gene leads to a constitutively induced unfolded protein response</t>
  </si>
  <si>
    <t>0.05**</t>
  </si>
  <si>
    <t>ERO1</t>
  </si>
  <si>
    <t>YML130C</t>
  </si>
  <si>
    <t>Thiol oxidase required for oxidative protein folding in the ER; essential for maintaining proper redox balance in ER; feedback regulation of Ero1p occurs via reduction and oxidation of Ero1p regulatory bonds; reduced Pdi1p activates Ero1p by direct reduction of Ero1p regulatory bonds; depletion of thiol substrates and accumulation of oxidized Pdi1p results in inactivation of Ero1p by both Pdi1p-mediated oxidation and autonomous oxidation of Ero1p regulatory bonds</t>
  </si>
  <si>
    <t>ERP1</t>
  </si>
  <si>
    <t>YAR002C-A</t>
  </si>
  <si>
    <t>Member of the p24 family involved in ER to Golgi transport; role in misfolded protein quality control; forms heterotrimeric complex with Erp2p, Emp24p, and Erv25p; localized to COPII-coated vesicles; ERP1 has a paralog, ERP6, that arose from the whole genome duplication</t>
  </si>
  <si>
    <t>ERV1</t>
  </si>
  <si>
    <t>YGR029W</t>
  </si>
  <si>
    <t>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t>
  </si>
  <si>
    <t>ERV25</t>
  </si>
  <si>
    <t>YML012W</t>
  </si>
  <si>
    <t xml:space="preserve">    Member of the p24 family involved in ER to Golgi transport; role in misfolded protein quality control;</t>
  </si>
  <si>
    <t>ESBP6</t>
  </si>
  <si>
    <t>YNL125C</t>
  </si>
  <si>
    <t>Protein with similarity to monocarboxylate permeases; appears not to be involved in transport of monocarboxylates such as lactate, pyruvate or acetate across the plasma membrane</t>
  </si>
  <si>
    <t>ETR1</t>
  </si>
  <si>
    <t>YBR026C</t>
  </si>
  <si>
    <t>2-enoyl thioester reductase; member of the medium chain dehydrogenase/reductase family; localized to in mitochondria, where it has a probable role in fatty acid synthesis</t>
  </si>
  <si>
    <t>EXG2</t>
  </si>
  <si>
    <t>YDR261C</t>
  </si>
  <si>
    <t>Exo-1,3-beta-glucanase; involved in cell wall beta-glucan assembly; may be anchored to the plasma membrane via a glycosylphosphatidylinositol (GPI) anchor</t>
  </si>
  <si>
    <t>EXO5</t>
  </si>
  <si>
    <t>YBR163W</t>
  </si>
  <si>
    <t>Mitochondrial 5'-3' exonuclease and sliding exonuclease; required for mitochondrial genome maintenance; distantly related to the RecB nuclease domain of bacterial RecBCD recombinases; may be regulated by the transcription factor Ace2</t>
  </si>
  <si>
    <t>FAA1</t>
  </si>
  <si>
    <t>YOR317W</t>
  </si>
  <si>
    <t>Long chain fatty acyl-CoA synthetase; activates imported fatty acids with a preference for C12:0-C16:0 chain lengths; functions in long chain fatty acid import; accounts for most acyl-CoA synthetase activity; localized to lipid particles; involved in sphingolipid-to-glycerolipid metabolism; forms ER foci upon DNA replication stress; FAA1 has a paralog, FAA4, that arose from the whole genome duplication</t>
  </si>
  <si>
    <t>FAA3</t>
  </si>
  <si>
    <t>YIL009W</t>
  </si>
  <si>
    <t>Long chain fatty acyl-CoA synthetase; activates imported fatty acids; green fluorescent protein (GFP)-fusion protein localizes to the cell periphery</t>
  </si>
  <si>
    <t>FAA4</t>
  </si>
  <si>
    <t>YMR246W</t>
  </si>
  <si>
    <t>Long chain fatty acyl-CoA synthetase; activates imported fatty acids with a preference for C12:0-C16:0 chain lengths; functions in long chain fatty acid import; important for survival during stationary phase; localized to lipid particles; involved in sphingolipid-to-glycerolipid metabolism; forms cytoplasmic foci upon DNA replication stress; FAA4 has a paralog, FAA1, that arose from the whole genome duplication</t>
  </si>
  <si>
    <t>FAR8</t>
  </si>
  <si>
    <t>YMR029C</t>
  </si>
  <si>
    <t>Protein involved in recovery from arrest in response to pheromone; acts in a cell cycle arrest recovery pathway independent from Far1p; interacts with Far3p, Far7p, Far9p, Far10p, and Far11p</t>
  </si>
  <si>
    <t>FAS2</t>
  </si>
  <si>
    <t>YPL231W</t>
  </si>
  <si>
    <t>Alpha subunit of fatty acid synthetase; complex catalyzes the synthesis of long-chain saturated fatty acids; contains the acyl-carrier protein domain and beta-ketoacyl reductase, beta-ketoacyl synthase and self-pantetheinylation activities</t>
  </si>
  <si>
    <t>FAT3</t>
  </si>
  <si>
    <t>YKL187C</t>
  </si>
  <si>
    <t>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t>
  </si>
  <si>
    <t>FAU1</t>
  </si>
  <si>
    <t>YER183C</t>
  </si>
  <si>
    <t>5,10-methenyltetrahydrofolate synthetase; involved in folic acid biosynthesis</t>
  </si>
  <si>
    <t>FBA1</t>
  </si>
  <si>
    <t>YKL060C</t>
  </si>
  <si>
    <t>Fructose 1,6-bisphosphate aldolase; required for glycolysis and gluconeogenesis; catalyzes conversion of fructose 1,6 bisphosphate to glyceraldehyde-3-P and dihydroxyacetone-P; locates to mitochondrial outer surface upon oxidative stress; N-terminally propionylated in vivo</t>
  </si>
  <si>
    <t>FIS1</t>
  </si>
  <si>
    <t>YIL065C</t>
  </si>
  <si>
    <t>Protein involved in mitochondrial fission and peroxisome abundance; may have a distinct role in tethering protein aggregates to mitochondria in order to retain them in the mother cell; required for localization of Dnm1p and Mdv1p during mitochondrial division; mediates ethanol-induced apoptosis and ethanol-induced mitochondrial fragmentation</t>
  </si>
  <si>
    <t>FKS1</t>
  </si>
  <si>
    <t>YLR342W</t>
  </si>
  <si>
    <t>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t>
  </si>
  <si>
    <t>FLX1</t>
  </si>
  <si>
    <t>YIL134W</t>
  </si>
  <si>
    <t>Protein required for transport of flavin adenine dinucleotide (FAD); a synthesis product of riboflavin, across the mitochondrial membrane</t>
  </si>
  <si>
    <t>FMC1</t>
  </si>
  <si>
    <t>YIL098C</t>
  </si>
  <si>
    <t>Mitochondrial matrix protein; required for assembly or stability at high temperature of the F1 sector of mitochondrial F1F0 ATP synthase; null mutant temperature sensitive growth on glycerol is suppressed by multicopy expression of Odc1p</t>
  </si>
  <si>
    <t>FMP10</t>
  </si>
  <si>
    <t>YER182W</t>
  </si>
  <si>
    <t>FMP16</t>
  </si>
  <si>
    <t>YDR070C</t>
  </si>
  <si>
    <t>Protein of unknown function; may be involved in responding to conditions of stress; the authentic, non-tagged protein is detected in highly purified mitochondria in high-throughput studies; protein abundance increases in response to DNA replication stress</t>
  </si>
  <si>
    <t>FMP23</t>
  </si>
  <si>
    <t>YBR047W</t>
  </si>
  <si>
    <t>Putative protein of unknown function; proposed to be involved in iron or copper homeostasis; the authentic, non-tagged protein is detected in highly purified mitochondria in high-throughput studies</t>
  </si>
  <si>
    <t>FMP25</t>
  </si>
  <si>
    <t>YLR077W</t>
  </si>
  <si>
    <t>Protein required for assembly of respiratory complex III; mitochondrial inner membrane protein; required for an early step in assembly of respiratory complex III (cytochrome bc1 complex); mRNA is targeted to mitochondria</t>
  </si>
  <si>
    <t>FMP30</t>
  </si>
  <si>
    <t>YPL103C</t>
  </si>
  <si>
    <t>Protein with a role in maintaining mitochondrial morphology; also involved in maintaining normal cardiolipin levels; mitochondrial inner membrane protein; proposed to be involved in N-acylethanolamine metabolism; related to mammalian N-acylPE-specific phospholipase D</t>
  </si>
  <si>
    <t>FMP32</t>
  </si>
  <si>
    <t>YFL046W</t>
  </si>
  <si>
    <t>Putative assembly factor for cytochrome c oxidase; the authentic, non-tagged protein is detected in highly purified mitochondria in high-throughput studies; has similarity to human MCUR1/CCDC90A</t>
  </si>
  <si>
    <t>FMP33</t>
  </si>
  <si>
    <t>YJL161W</t>
  </si>
  <si>
    <t>FMP40</t>
  </si>
  <si>
    <t>YPL222W</t>
  </si>
  <si>
    <t>Putative protein of unknown function; proposed to be involved in responding to environmental stresses; the authentic, non-tagged protein is detected in highly purified mitochondria in high-throughput studies</t>
  </si>
  <si>
    <t>FMP41</t>
  </si>
  <si>
    <t>YNL168C</t>
  </si>
  <si>
    <t>Putative protein of unknown function; GFP-fusion protein is induced in response to the DNA-damaging agent MMS; the authentic, non-tagged protein is detected in highly purified mitochondria in high-throughput studies</t>
  </si>
  <si>
    <t>FMP45</t>
  </si>
  <si>
    <t>YDL222C</t>
  </si>
  <si>
    <t>Integral membrane protein localized to mitochondria; required for sporulation and maintaining sphingolipid content; similar to SUR7; FMP45 has a paralog, YNL194C, that arose from the whole genome duplication</t>
  </si>
  <si>
    <t>FMP46</t>
  </si>
  <si>
    <t>YKR049C</t>
  </si>
  <si>
    <t>Putative redox protein containing a thioredoxin fold; the authentic, non-tagged protein is detected in highly purified mitochondria in high-throughput studies</t>
  </si>
  <si>
    <t>FMP52</t>
  </si>
  <si>
    <t>YER004W</t>
  </si>
  <si>
    <t>Protein of unknown function; localized to the mitochondrial outer membrane; induced by treatment with 8-methoxypsoralen and UVA irradiation</t>
  </si>
  <si>
    <t>FMT1</t>
  </si>
  <si>
    <t>YBL013W</t>
  </si>
  <si>
    <t>Methionyl-tRNA formyltransferase; catalyzes the formylation of initiator Met-tRNA in mitochondria; potential Cdc28p substrate</t>
  </si>
  <si>
    <t>FOL1</t>
  </si>
  <si>
    <t>YNL256W</t>
  </si>
  <si>
    <t>Multifunctional enzyme of the folic acid biosynthesis pathway; has dihydropteroate synthetase, dihydro-6-hydroxymethylpterin pyrophosphokinase, and dihydroneopterin aldolase activities</t>
  </si>
  <si>
    <t>FOL3</t>
  </si>
  <si>
    <t>YMR113W</t>
  </si>
  <si>
    <t>Dihydrofolate synthetase, involved in folic acid biosynthesis; catalyzes conversion of dihydropteroate to dihydrofolate in folate coenzyme biosynthesis; FOL3 has a paralog, RMA1, that arose from the whole genome duplication</t>
  </si>
  <si>
    <t>FOX2</t>
  </si>
  <si>
    <t>YKR009C</t>
  </si>
  <si>
    <t>3-hydroxyacyl-CoA dehydrogenase and enoyl-CoA hydratase; multifunctional enzyme of the peroxisomal fatty acid beta-oxidation pathway</t>
  </si>
  <si>
    <t>FPR1</t>
  </si>
  <si>
    <t>YNL135C</t>
  </si>
  <si>
    <t>Peptidyl-prolyl cis-trans isomerase (PPIase); binds to the drugs FK506 and rapamycin; also binds to the nonhistone chromatin binding protein Hmo1p and may regulate its assembly or function; N-terminally propionylated in vivo</t>
  </si>
  <si>
    <t>FPR2</t>
  </si>
  <si>
    <t>YDR519W</t>
  </si>
  <si>
    <t>Membrane-bound peptidyl-prolyl cis-trans isomerase (PPIase); binds to the drugs FK506 and rapamycin; expression pattern suggests possible involvement in ER protein trafficking; relocalizes from nucleus to vacuole upon DNA replication stress</t>
  </si>
  <si>
    <t>FSF1</t>
  </si>
  <si>
    <t>YOR271C</t>
  </si>
  <si>
    <t>Putative protein; predicted to be an alpha-isopropylmalate carrier; belongs to the sideroblastic-associated protein family; non-tagged protein is detected in purified mitochondria; likely to play a role in iron homeostasis</t>
  </si>
  <si>
    <t>FSH1</t>
  </si>
  <si>
    <t>YHR049W</t>
  </si>
  <si>
    <t>Putative serine hydrolase; localizes to both the nucleus and cytoplasm; sequence is similar to S. cerevisiae Fsh2p and Fsh3p and the human candidate tumor suppressor OVCA2</t>
  </si>
  <si>
    <t>FUM1</t>
  </si>
  <si>
    <t>YPL262W</t>
  </si>
  <si>
    <t>Fumarase; converts fumaric acid to L-malic acid in the TCA cycle; cytosolic and mitochondrial distribution determined by the N-terminal targeting sequence, protein conformation, and status of glyoxylate shunt; phosphorylated in mitochondria</t>
  </si>
  <si>
    <t>FUN14</t>
  </si>
  <si>
    <t>YAL008W</t>
  </si>
  <si>
    <t>Mitochondrial protein of unknown function</t>
  </si>
  <si>
    <t>FYV4</t>
  </si>
  <si>
    <t>YHR059W</t>
  </si>
  <si>
    <t>Protein of unknown function; required for survival upon exposure to K1 killer toxin</t>
  </si>
  <si>
    <t>FYV8</t>
  </si>
  <si>
    <t>YGR196C</t>
  </si>
  <si>
    <t>FZO1</t>
  </si>
  <si>
    <t>YBR179C</t>
  </si>
  <si>
    <t>Mitofusin; integral membrane protein involved in mitochondrial outer membrane tethering and fusion; role in mitochondrial genome maintenance; efficient tethering and degradation of Fzo1p requires an intact N-terminal GTPase domain; targeted for destruction by the ubiquitin ligase SCF-Mdm30p and the cytosolic ubiquitin-proteasome system</t>
  </si>
  <si>
    <t>GAS1</t>
  </si>
  <si>
    <t>YMR307W</t>
  </si>
  <si>
    <t>Beta-1,3-glucanosyltransferase; required for cell wall assembly and also has a role in transcriptional silencing; localizes to cell surface via a glycosylphosphatidylinositol (GPI) anchor; also found at nuclear periphery; genetic interactions with histone H3 lysine acetyltransferases GCN5 and SAS3 indicate previously unsuspected functions for Gas1 in DNA damage response and cell cycle regulation</t>
  </si>
  <si>
    <t>GAS3</t>
  </si>
  <si>
    <t>YMR215W</t>
  </si>
  <si>
    <t>Putative 1,3-beta-glucanosyltransferase; has similarity go other GAS family members; low abundance, possibly inactive member of the GAS family of GPI-containing proteins; localizes to the cell wall; mRNA induced during sporulation</t>
  </si>
  <si>
    <t>GAS5</t>
  </si>
  <si>
    <t>YOL030W</t>
  </si>
  <si>
    <t>1,3-beta-glucanosyltransferase; has similarity to Gas1p; localizes to the cell wall</t>
  </si>
  <si>
    <t>GCV1</t>
  </si>
  <si>
    <t>YDR019C</t>
  </si>
  <si>
    <t>T subunit of the mitochondrial glycine decarboxylase complex; glycine decarboxylase is required for the catabolism of glycine to 5,10-methylene-THF; expression is regulated by levels of levels of 5,10-methylene-THF in the cytoplasm</t>
  </si>
  <si>
    <t>GCV2</t>
  </si>
  <si>
    <t>YMR189W</t>
  </si>
  <si>
    <t>P subunit of the mitochondrial glycine decarboxylase complex; glycine decarboxylase is required for the catabolism of glycine to 5,10-methylene-THF; expression is regulated by levels of 5,10-methylene-THF in the cytoplasm</t>
  </si>
  <si>
    <t>GCV3</t>
  </si>
  <si>
    <t>YAL044C</t>
  </si>
  <si>
    <t>H subunit of the mitochondrial glycine decarboxylase complex; glycine decarboxylase is required for the catabolism of glycine to 5,10-methylene-THF; also required for all protein lipoylation; expression is regulated by levels of 5,10-methylene-THF</t>
  </si>
  <si>
    <t>GDH2</t>
  </si>
  <si>
    <t>YDL215C</t>
  </si>
  <si>
    <t>NAD(+)-dependent glutamate dehydrogenase; degrades glutamate to ammonia and alpha-ketoglutarate; expression sensitive to nitrogen catabolite repression and intracellular ammonia levels; genetically interacts with GDH3 by suppressing stress-induced apoptosis</t>
  </si>
  <si>
    <t>GDI1</t>
  </si>
  <si>
    <t>YER136W</t>
  </si>
  <si>
    <t>GDP dissociation inhibitor; regulates vesicle traffic in secretory pathways by regulating the dissociation of GDP from the Sec4/Ypt/rab family of GTP binding proteins</t>
  </si>
  <si>
    <t>GEM1</t>
  </si>
  <si>
    <t>YAL048C</t>
  </si>
  <si>
    <t>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t>
  </si>
  <si>
    <t>GEP3</t>
  </si>
  <si>
    <t>YOR205C</t>
  </si>
  <si>
    <t>Protein required for mitochondrial ribosome small subunit biogenesis; null mutant is defective in respiration and in maturation of 15S rRNA; protein is localized to the mitochondrial inner membrane; null mutant interacts synthetically with prohibitin (Phb1p)</t>
  </si>
  <si>
    <t>GEP4</t>
  </si>
  <si>
    <t>YHR100C</t>
  </si>
  <si>
    <t>Mitochondrial phosphatidylglycerophosphatase (PGP phosphatase); dephosphorylates phosphatidylglycerolphosphate to generate phosphatidylglycerol, an essential step during cardiolipin biosynthesis; null mutant is sensitive to tunicamycin, DTT</t>
  </si>
  <si>
    <t>GEP5</t>
  </si>
  <si>
    <t>YLR091W</t>
  </si>
  <si>
    <t>Protein of unknown function; required for mitochondrial genome maintenance; detected in highly purified mitochondria in high-throughput studies; null mutant has decreased levels of cardiolipin and phosphatidylethanolamine</t>
  </si>
  <si>
    <t>GEP7</t>
  </si>
  <si>
    <t>YGL057C</t>
  </si>
  <si>
    <t>Protein of unknown function; null mutant exhibits a respiratory growth defect and synthetic interactions with prohibitin (phb1) and gem1; authentic, non-tagged protein is detected in highly purified mitochondria in high-throughput studies</t>
  </si>
  <si>
    <t>GGC1</t>
  </si>
  <si>
    <t>YDL198C</t>
  </si>
  <si>
    <t>Mitochondrial GTP/GDP transporter; essential for mitochondrial genome maintenance; has a role in mitochondrial iron transport; member of the mitochondrial carrier family</t>
  </si>
  <si>
    <t>GLC7</t>
  </si>
  <si>
    <t>YER133W</t>
  </si>
  <si>
    <t>Type 1 serine/threonine protein phosphatase catalytic subunit; cleavage and polyadenylation factor (CPF) component; involved in various processes including glycogen metabolism, sporulation, mitosis; accumulates at mating projections by interaction with Afr1p; interacts with many regulatory subunits; involved in regulation of the nucleocytoplasmic shuttling of Hxk2p; import into nucleus is inhibited during spindle assembly checkpoint arrest</t>
  </si>
  <si>
    <t>GLE1</t>
  </si>
  <si>
    <t>YDL207W</t>
  </si>
  <si>
    <t>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t>
  </si>
  <si>
    <t>GLK1</t>
  </si>
  <si>
    <t>YCL040W</t>
  </si>
  <si>
    <t>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</si>
  <si>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GLO4</t>
  </si>
  <si>
    <t>YOR040W</t>
  </si>
  <si>
    <t>Mitochondrial glyoxalase II; catalyzes the hydrolysis of S-D-lactoylglutathione into glutathione and D-lactate; GLO4 has a paralog, GLO2, that arose from the whole genome duplication</t>
  </si>
  <si>
    <t>GLR1</t>
  </si>
  <si>
    <t>YPL091W</t>
  </si>
  <si>
    <t>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t>
  </si>
  <si>
    <t>GND1</t>
  </si>
  <si>
    <t>YHR183W</t>
  </si>
  <si>
    <t>6-phosphogluconate dehydrogenase (decarboxylating); catalyzes an NADPH regenerating reaction in the pentose phosphate pathway; required for growth on D-glucono-delta-lactone and adaptation to oxidative stress; GND1 has a paralog, GND2, that arose from the whole genome duplication</t>
  </si>
  <si>
    <t>GOR1</t>
  </si>
  <si>
    <t>YNL274C</t>
  </si>
  <si>
    <t>Glyoxylate reductase; null mutation results in increased biomass after diauxic shift; the authentic, non-tagged protein is detected in highly purified mitochondria in high-throughput studies; protein abundance increases in response to DNA replication stress</t>
  </si>
  <si>
    <t>GPA1</t>
  </si>
  <si>
    <t>YHR005C</t>
  </si>
  <si>
    <t>Subunit of the G protein involved in pheromone response; GTP-binding alpha subunit of the heterotrimeric G protein; negatively regulates the mating pathway by sequestering G(beta)gamma and by triggering an adaptive response; activates Vps34p at the endosome; protein abundance increases in response to DNA replication stress</t>
  </si>
  <si>
    <t>GPA2</t>
  </si>
  <si>
    <t>YER020W</t>
  </si>
  <si>
    <t>Nucleotide binding alpha subunit of the heterotrimeric G protein; interacts with the receptor Gpr1p, has signaling role in response to nutrients; required for the recruitment of Ras-GTP at the plasma membrane and in the nucleus</t>
  </si>
  <si>
    <t>GPD2</t>
  </si>
  <si>
    <t>YOL059W</t>
  </si>
  <si>
    <t>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</si>
  <si>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GPM1</t>
  </si>
  <si>
    <t>YKL152C</t>
  </si>
  <si>
    <t>Tetrameric phosphoglycerate mutase; mediates the conversion of 3-phosphoglycerate to 2-phosphoglycerate during glycolysis and the reverse reaction during gluconeogenesis</t>
  </si>
  <si>
    <t>GPT2</t>
  </si>
  <si>
    <t>YKR067W</t>
  </si>
  <si>
    <t>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</si>
  <si>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GPX2</t>
  </si>
  <si>
    <t>YBR244W</t>
  </si>
  <si>
    <t>Phospholipid hydroperoxide glutathione peroxidase; protects cells from phospholipid hydroperoxides and nonphospholipid peroxides during oxidative stress; induced by glucose starvation; protein abundance increases in response to DNA replication stress</t>
  </si>
  <si>
    <t>GRE1</t>
  </si>
  <si>
    <t>YPL223C</t>
  </si>
  <si>
    <t>Hydrophilin essential in desiccation-rehydration process; stress induced (osmotic, ionic, oxidative, heat shock and heavy metals); regulated by the HOG pathway; GRE1 has a paralog, SIP18, that arose from the whole genome duplication</t>
  </si>
  <si>
    <t>GRE3</t>
  </si>
  <si>
    <t>YHR104W</t>
  </si>
  <si>
    <t>Aldose reductase; involved in methylglyoxal, d-xylose, arabinose, and galactose metabolism; stress induced (osmotic, ionic, oxidative, heat shock, starvation and heavy metals); regulated by the HOG pathway; protein abundance increases in response to DNA replication stress</t>
  </si>
  <si>
    <t>GRS1</t>
  </si>
  <si>
    <t>YBR121C</t>
  </si>
  <si>
    <t>Cytoplasmic and mitochondrial glycyl-tRNA synthase; ligates glycine to the cognate anticodon-bearing tRNA; transcription termination factor that may interact with the 3'-end of pre-mRNA to promote 3'-end formation; GRS1 has a paralog, GRS2, that arose from the whole genome duplication</t>
  </si>
  <si>
    <t>GRX2</t>
  </si>
  <si>
    <t>YDR513W</t>
  </si>
  <si>
    <t>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</si>
  <si>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GRX5</t>
  </si>
  <si>
    <t>YPL059W</t>
  </si>
  <si>
    <t>Glutathione-dependent oxidoreductase; hydroperoxide and superoxide-radical responsive; mitochondrial matrix protein involved in the synthesis/assembly of iron-sulfur centers; monothiol glutaredoxin subfamily member along with Grx3p and Grx4p</t>
  </si>
  <si>
    <t>GSF2</t>
  </si>
  <si>
    <t>YML048W</t>
  </si>
  <si>
    <t>Endoplasmic reticulum (ER) localized integral membrane protein; may promote secretion of certain hexose transporters, including Gal2p; involved in glucose-dependent repression</t>
  </si>
  <si>
    <t>GTF1</t>
  </si>
  <si>
    <t>YGR102C</t>
  </si>
  <si>
    <t>Subunit of the trimeric GatFAB AmidoTransferase(AdT) complex; involved in the formation of Q-tRNAQ; transposon insertion mutant is salt sensitive and null mutant has growth defects; non-tagged protein is detected in purified mitochondria</t>
  </si>
  <si>
    <t>GTT1</t>
  </si>
  <si>
    <t>YIR038C</t>
  </si>
  <si>
    <t>ER associated glutathione S-transferase capable of homodimerization; expression induced during the diauxic shift and throughout stationary phase; functional overlap with Gtt2p, Grx1p, and Grx2p</t>
  </si>
  <si>
    <t>GUF1</t>
  </si>
  <si>
    <t>YLR289W</t>
  </si>
  <si>
    <t>Mitochondrial matrix GTPase; associates with mitochondrial ribosomes; important for translation under temperature and nutrient stress; may have a role in translational fidelity; similar to bacterial LepA elongation factor</t>
  </si>
  <si>
    <t>GUK1</t>
  </si>
  <si>
    <t>YDR454C</t>
  </si>
  <si>
    <t>Guanylate kinase; converts GMP to GDP; required for growth and mannose outer chain elongation of cell wall N-linked glycoproteins</t>
  </si>
  <si>
    <t>GUT1</t>
  </si>
  <si>
    <t>YHL032C</t>
  </si>
  <si>
    <t>Glycerol kinase; converts glycerol to glycerol-3-phosphate; glucose repression of expression is mediated by Adr1p and Ino2p-Ino4p; derepression of expression on non-fermentable carbon sources is mediated by Opi1p and Rsf1p</t>
  </si>
  <si>
    <t>GUT2</t>
  </si>
  <si>
    <t>YIL155C</t>
  </si>
  <si>
    <t>Mitochondrial glycerol-3-phosphate dehydrogenase; expression is repressed by both glucose and cAMP and derepressed by non-fermentable carbon sources in a Snf1p, Rsf1p, Hap2/3/4/5 complex dependent manner</t>
  </si>
  <si>
    <t>GVP36</t>
  </si>
  <si>
    <t>YIL041W</t>
  </si>
  <si>
    <t>BAR domain protein that localizes to early and late Golgi vesicles; required for adaptation to varying nutrient concentrations, fluid-phase endocytosis, polarization of the actin cytoskeleton, and vacuole biogenesis</t>
  </si>
  <si>
    <t>HAL9</t>
  </si>
  <si>
    <t>YOL089C</t>
  </si>
  <si>
    <t>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t>
  </si>
  <si>
    <t>HBN1</t>
  </si>
  <si>
    <t>YCL026C-B</t>
  </si>
  <si>
    <t>Protein of unknown function; similar to bacterial nitroreductases; green fluorescent protein (GFP)-fusion protein localizes to the cytoplasm and nucleus; protein becomes insoluble upon intracellular iron depletion; protein abundance increases in response to DNA replication stress</t>
  </si>
  <si>
    <t>HBT1</t>
  </si>
  <si>
    <t>YDL223C</t>
  </si>
  <si>
    <t>Shmoo tip protein, substrate of Hub1p ubiquitin-like protein; mutants are defective for mating projection formation, thereby implicating Hbt1p in polarized cell morphogenesis; HBT1 has a paralog, YNL195C, that arose from the whole genome duplication</t>
  </si>
  <si>
    <t>HEM1</t>
  </si>
  <si>
    <t>YDR232W</t>
  </si>
  <si>
    <t>5-aminolevulinate synthase; catalyzes the first step in the heme biosynthetic pathway; an N-terminal signal sequence is required for localization to the mitochondrial matrix; expression is regulated by Hap2p-Hap3p</t>
  </si>
  <si>
    <t>HEM14</t>
  </si>
  <si>
    <t>YER014W</t>
  </si>
  <si>
    <t>Protoporphyrinogen oxidase; a mitochondrial enzyme that catalyzes the seventh step in the heme biosynthetic pathway, converting protoporphyrinogen IX to protoporphyrin IX; inhibited by diphenyl ether-type herbicides</t>
  </si>
  <si>
    <t>HEM15</t>
  </si>
  <si>
    <t>YOR176W</t>
  </si>
  <si>
    <t>Ferrochelatase; a mitochondrial inner membrane protein, catalyzes the insertion of ferrous iron into protoporphyrin IX, the eighth and final step in the heme biosynthetic pathway</t>
  </si>
  <si>
    <t>HER1</t>
  </si>
  <si>
    <t>YOR227W</t>
  </si>
  <si>
    <t>Protein of unknown function; required for proliferation or remodeling of the ER that is caused by overexpression of Hmg2p; may interact with ribosomes, based on co-purification experiments; HER1 has a paralog, GIP3, that arose from the whole genome duplication</t>
  </si>
  <si>
    <t>HER2</t>
  </si>
  <si>
    <t>YMR293C</t>
  </si>
  <si>
    <t>Subunit of the trimeric GatFAB AmidoTransferase(AdT) complex; involved in the formation of Q-tRNAQ; required for remodeling of ER caused by Hmg2p overexpression; similar to bacterial GatA glutamyl-tRNA amidotransferase</t>
  </si>
  <si>
    <t>HFA1</t>
  </si>
  <si>
    <t>YMR207C</t>
  </si>
  <si>
    <t>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t>
  </si>
  <si>
    <t>HFD1</t>
  </si>
  <si>
    <t>YMR110C</t>
  </si>
  <si>
    <t>Hexadecenal dehydrogenase; involved in the conversion of sphingosine 1-phosphate breakdown product hexadecenal to hexadecenoic acid; located in the mitochondrial outer membrane and also in lipid particles; has similarity to ALDH3A2, a human fatty aldehyde dehydrogenase (FALDH) mutated in Sjogren-Larsson syndrome, a neurocutaneous disorder</t>
  </si>
  <si>
    <t>HMF1</t>
  </si>
  <si>
    <t>YER057C</t>
  </si>
  <si>
    <t>Member of the p14.5 protein family; functionally complements Mmf1p function when targeted to mitochondria; heat shock inducible; high-dosage growth inhibitor; forms a homotrimer in vitro; HMF1 has a paralog, MMF1, that arose from the whole genome duplication</t>
  </si>
  <si>
    <t>HMI1</t>
  </si>
  <si>
    <t>YOL095C</t>
  </si>
  <si>
    <t>Mitochondrial inner membrane localized ATP-dependent DNA helicase; required for the maintenance of the mitochondrial genome; not required for mitochondrial transcription; has homology to E. coli helicase uvrD</t>
  </si>
  <si>
    <t>HNT1</t>
  </si>
  <si>
    <t>YDL125C</t>
  </si>
  <si>
    <t>Adenosine 5'-monophosphoramidase; interacts physically and genetically with Kin28p, a CDK and TFIIK subunit, and genetically with CAK1; member of the histidine triad (HIT) superfamily of nucleotide-binding proteins and similar to Hint; protein abundance increases in response to DNA replication stress</t>
  </si>
  <si>
    <t>HNT2</t>
  </si>
  <si>
    <t>YDR305C</t>
  </si>
  <si>
    <t>Dinucleoside triphosphate hydrolase; has similarity to the tumor suppressor FHIT and belongs to the histidine triad (HIT) superfamily of nucleotide-binding proteins</t>
  </si>
  <si>
    <t>HOM6</t>
  </si>
  <si>
    <t>YJR139C</t>
  </si>
  <si>
    <t>Homoserine dehydrogenase (L-homoserine:NADP oxidoreductase); dimeric enzyme that catalyzes the third step in the common pathway for methionine and threonine biosynthesis; enzyme has nucleotide-binding, dimerization and catalytic regions</t>
  </si>
  <si>
    <t>HSP10</t>
  </si>
  <si>
    <t>YOR020C</t>
  </si>
  <si>
    <t>Mitochondrial matrix co-chaperonin; inhibits the ATPase activity of Hsp60p, a mitochondrial chaperonin; involved in protein folding and sorting in the mitochondria; 10 kD heat shock protein with similarity to E. coli groES</t>
  </si>
  <si>
    <t>HSP104</t>
  </si>
  <si>
    <t>YLL026W</t>
  </si>
  <si>
    <t>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t>
  </si>
  <si>
    <t>HSP12</t>
  </si>
  <si>
    <t>YFL014W</t>
  </si>
  <si>
    <t>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t>
  </si>
  <si>
    <t>HSP26</t>
  </si>
  <si>
    <t>YBR072W</t>
  </si>
  <si>
    <t>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t>
  </si>
  <si>
    <t>HSP60</t>
  </si>
  <si>
    <t>YLR259C</t>
  </si>
  <si>
    <t>Tetradecameric mitochondrial chaperonin; required for ATP-dependent folding of precursor polypeptides and complex assembly; prevents aggregation and mediates protein refolding after heat shock; role in mtDNA transmission; phosphorylated</t>
  </si>
  <si>
    <t>HSP78</t>
  </si>
  <si>
    <t>YDR258C</t>
  </si>
  <si>
    <t>Oligomeric mitochondrial matrix chaperone; cooperates with Ssc1p in mitochondrial thermotolerance after heat shock; able to prevent the aggregation of misfolded proteins as well as resolubilize protein aggregates</t>
  </si>
  <si>
    <t>HTD2</t>
  </si>
  <si>
    <t>YHR067W</t>
  </si>
  <si>
    <t>Mitochondrial 3-hydroxyacyl-thioester dehydratase; involved in fatty acid biosynthesis, required for respiratory growth and for normal mitochondrial morphology</t>
  </si>
  <si>
    <t>HTS1</t>
  </si>
  <si>
    <t>YPR033C</t>
  </si>
  <si>
    <t>Cytoplasmic and mitochondrial histidine tRNA synthetase; efficient mitochondrial localization requires both a presequence and an amino-terminal sequence; mutations in human ortholog HARS2 are associated with Perrault syndrome</t>
  </si>
  <si>
    <t>HXK1</t>
  </si>
  <si>
    <t>YFR053C</t>
  </si>
  <si>
    <t>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</si>
  <si>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HXK2</t>
  </si>
  <si>
    <t>YGL253W</t>
  </si>
  <si>
    <t>Hexokinase isoenzyme 2; catalyzes phosphorylation of glucose in the cytosol; predominant hexokinase during growth on glucose; functions in the nucleus to repress expression of HXK1 and GLK1 and to induce expression of its own gene; antiapoptotic; phosphorylation/dephosphorylation at serine-14 by protein kinase Snf1p and protein phosphatase Glc7p-Reg1p regulates nucleocytoplasmic shuttling of Hxk2p; HXK2 has a paralog, HXK1, that arose from the whole genome duplication</t>
  </si>
  <si>
    <t>HXT2</t>
  </si>
  <si>
    <t>YMR011W</t>
  </si>
  <si>
    <t>High-affinity glucose transporter of the major facilitator superfamily; expression is induced by low levels of glucose and repressed by high levels of glucose</t>
  </si>
  <si>
    <t>HXT5</t>
  </si>
  <si>
    <t>YHR096C</t>
  </si>
  <si>
    <t>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</si>
  <si>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HYR1</t>
  </si>
  <si>
    <t>YIR037W</t>
  </si>
  <si>
    <t>Thiol peroxidase; functions as a hydroperoxide receptor to sense intracellular hydroperoxide levels and transduce a redox signal to the Yap1p transcription factor; HYR1 has a paralog, GPX1, that arose from the whole genome duplication</t>
  </si>
  <si>
    <t>IBA57</t>
  </si>
  <si>
    <t>YJR122W</t>
  </si>
  <si>
    <t>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t>
  </si>
  <si>
    <t>ICL1</t>
  </si>
  <si>
    <t>YER065C</t>
  </si>
  <si>
    <t>Isocitrate lyase; catalyzes the formation of succinate and glyoxylate from isocitrate, a key reaction of the glyoxylate cycle; expression of ICL1 is induced by growth on ethanol and repressed by growth on glucose</t>
  </si>
  <si>
    <t>ICL2</t>
  </si>
  <si>
    <t>YPR006C</t>
  </si>
  <si>
    <t>2-methylisocitrate lyase of the mitochondrial matrix; functions in the methylcitrate cycle to catalyze the conversion of 2-methylisocitrate to succinate and pyruvate; ICL2 transcription is repressed by glucose and induced by ethanol</t>
  </si>
  <si>
    <t>ICP55</t>
  </si>
  <si>
    <t>YER078C</t>
  </si>
  <si>
    <t>Mitochondrial aminopeptidase; cleaves the N termini of at least 38 imported proteins after cleavage by the mitochondrial processing peptidase (MPP), thereby increasing their stability; member of the aminopeptidase P family</t>
  </si>
  <si>
    <t>IDH1</t>
  </si>
  <si>
    <t>YNL037C</t>
  </si>
  <si>
    <t>Subunit of mitochondrial NAD(+)-dependent isocitrate dehydrogenase; complex catalyzes the oxidation of isocitrate to alpha-ketoglutarate in the TCA cycle</t>
  </si>
  <si>
    <t>IDH2</t>
  </si>
  <si>
    <t>YOR136W</t>
  </si>
  <si>
    <t>Subunit of mitochondrial NAD(+)-dependent isocitrate dehydrogenase; complex catalyzes the oxidation of isocitrate to alpha-ketoglutarate in the TCA cycle; phosphorylated</t>
  </si>
  <si>
    <t>IDP1</t>
  </si>
  <si>
    <t>YDL066W</t>
  </si>
  <si>
    <t>Mitochondrial NADP-specific isocitrate dehydrogenase; catalyzes the oxidation of isocitrate to alpha-ketoglutarate; not required for mitochondrial respiration and may function to divert alpha-ketoglutarate to biosynthetic processes</t>
  </si>
  <si>
    <t>IDP3</t>
  </si>
  <si>
    <t>YNL009W</t>
  </si>
  <si>
    <t>Peroxisomal NADP-dependent isocitrate dehydrogenase; catalyzes oxidation of isocitrate to alpha-ketoglutarate with the formation of NADP(H+), required for growth on unsaturated fatty acids; IDP3 has a paralog, IDP2, that arose from the whole genome duplication</t>
  </si>
  <si>
    <t>IFM1</t>
  </si>
  <si>
    <t>YOL023W</t>
  </si>
  <si>
    <t>Mitochondrial translation initiation factor 2</t>
  </si>
  <si>
    <t>ILV1</t>
  </si>
  <si>
    <t>YER086W</t>
  </si>
  <si>
    <t>Threonine deaminase, catalyzes first step in isoleucine biosynthesis; expression is under general amino acid control; ILV1 locus exhibits highly positioned nucleosomes whose organization is independent of known ILV1 regulation</t>
  </si>
  <si>
    <t>ILV2</t>
  </si>
  <si>
    <t>YMR108W</t>
  </si>
  <si>
    <t>Acetolactate synthase; catalyses the first common step in isoleucine and valine biosynthesis and is the target of several classes of inhibitors, localizes to the mitochondria; expression of the gene is under general amino acid control</t>
  </si>
  <si>
    <t>ILV3</t>
  </si>
  <si>
    <t>YJR016C</t>
  </si>
  <si>
    <t>Dihydroxyacid dehydratase; catalyzes third step in the common pathway leading to biosynthesis of branched-chain amino acids</t>
  </si>
  <si>
    <t>ILV5</t>
  </si>
  <si>
    <t>YLR355C</t>
  </si>
  <si>
    <t>Acetohydroxyacid reductoisomerase and mtDNA binding protein; involved in branched-chain amino acid biosynthesis and maintenance of wild-type mitochondrial DNA; found in mitochondrial nucleoids</t>
  </si>
  <si>
    <t>ILV6</t>
  </si>
  <si>
    <t>YCL009C</t>
  </si>
  <si>
    <t>Regulatory subunit of acetolactate synthase; acetolactate synthase catalyzes the first step of branched-chain amino acid biosynthesis; enhances activity of the Ilv2p catalytic subunit, localizes to mitochondria</t>
  </si>
  <si>
    <t>IMG1</t>
  </si>
  <si>
    <t>YCR046C</t>
  </si>
  <si>
    <t>Mitochondrial ribosomal protein of the large subunit; required for respiration and for maintenance of the mitochondrial genome</t>
  </si>
  <si>
    <t>IMG2</t>
  </si>
  <si>
    <t>YCR071C</t>
  </si>
  <si>
    <t>Mitochondrial ribosomal protein of the large subunit; conserved in metazoa, with similarity to human mitochondrial ribosomal protein MRPL49</t>
  </si>
  <si>
    <t>IML2</t>
  </si>
  <si>
    <t>YJL082W</t>
  </si>
  <si>
    <t>Protein of unknown function; the authentic, non-tagged protein is detected in highly purified mitochondria in high-throughput studies; protein abundance increases in response to DNA replication stress; IML2 has a paralog, YKR018C, that arose from the whole genome duplication</t>
  </si>
  <si>
    <t>IMO32</t>
  </si>
  <si>
    <t>YGR031W</t>
  </si>
  <si>
    <t>Conserved mitochondrial protein of unknown function; processed by both mitochondrial processing peptidase and mitochondrial octapeptidyl aminopeptidase; gene contains the nested antisense gene NAG1</t>
  </si>
  <si>
    <t>IMP1</t>
  </si>
  <si>
    <t>YMR150C</t>
  </si>
  <si>
    <t>Catalytic subunit of mitochondrial inner membrane peptidase complex; required for maturation of mitochondrial proteins of the intermembrane space; complex contains two catalytic subunits (Imp1p and Imp2p that differ in substrate specificty) and Som1p</t>
  </si>
  <si>
    <t>IMP2</t>
  </si>
  <si>
    <t>YMR035W</t>
  </si>
  <si>
    <t>Catalytic subunit of mitochondrial inner membrane peptidase complex; required for maturation of mitochondrial proteins of the intermembrane space; complex contains two catalytic subunits (Imp1p and Imp2p that differ in substrate specificity), and Som1p</t>
  </si>
  <si>
    <t>INA17</t>
  </si>
  <si>
    <t>YPL099C</t>
  </si>
  <si>
    <t>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t>
  </si>
  <si>
    <t>INA22</t>
  </si>
  <si>
    <t>YIR024C</t>
  </si>
  <si>
    <t>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t>
  </si>
  <si>
    <t>INH1</t>
  </si>
  <si>
    <t>YDL181W</t>
  </si>
  <si>
    <t>Protein that inhibits ATP hydrolysis by the F1F0-ATP synthase; inhibitory function is enhanced by stabilizing proteins Stf1p and Stf2p; has a calmodulin-binding motif and binds calmodulin in vitro; INH1 has a paralog, STF1, that arose from the whole genome duplication</t>
  </si>
  <si>
    <t>IPP1</t>
  </si>
  <si>
    <t>YBR011C</t>
  </si>
  <si>
    <t>Cytoplasmic inorganic pyrophosphatase (PPase); homodimer that catalyzes the rapid exchange of oxygens from Pi with water, highly expressed and essential for viability, active-site residues show identity to those from E. coli PPase</t>
  </si>
  <si>
    <t>IRC3</t>
  </si>
  <si>
    <t>YDR332W</t>
  </si>
  <si>
    <t>Double-stranded DNA-dependent helicase of the DExH/D-box family; required for maintenance of the mitochondrial (mt) genome; null mutant accumulates double-stranded breaks in mt DNA; localizes to the mt matrix</t>
  </si>
  <si>
    <t>ISA1</t>
  </si>
  <si>
    <t>YLL027W</t>
  </si>
  <si>
    <t>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t>
  </si>
  <si>
    <t>ISA2</t>
  </si>
  <si>
    <t>YPR067W</t>
  </si>
  <si>
    <t>Protein required for maturation of mitochondrial [4Fe-4S] proteins; functions in a complex with Isa1p and possibly Iba57p; localizes to the mitochondrial intermembrane space, overexpression of ISA2 suppresses grx5 mutations</t>
  </si>
  <si>
    <t>ISC1</t>
  </si>
  <si>
    <t>YER019W</t>
  </si>
  <si>
    <t>Inositol phosphosphingolipid phospholipase C; mitochondrial membrane localized; hydrolyzes complex sphingolipids to produce ceramide; activates genes required for non-fermentable carbon source metabolism during the diauxic shift; activated by phosphatidylserine, cardiolipin, and phosphatidylglycerol; mediates Na+ and Li+ halotolerance</t>
  </si>
  <si>
    <t>ISD11</t>
  </si>
  <si>
    <t>YER048W-A</t>
  </si>
  <si>
    <t>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t>
  </si>
  <si>
    <t>ISM1</t>
  </si>
  <si>
    <t>YPL040C</t>
  </si>
  <si>
    <t>Mitochondrial isoleucyl-tRNA synthetase; null mutant is deficient in respiratory growth</t>
  </si>
  <si>
    <t>IST2</t>
  </si>
  <si>
    <t>YBR086C</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</si>
  <si>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t>
  </si>
  <si>
    <t>ISU1</t>
  </si>
  <si>
    <t>YPL135W</t>
  </si>
  <si>
    <t>Conserved protein of the mitochondrial matrix; performs a scaffolding function during assembly of iron-sulfur clusters, interacts physically and functionally with yeast frataxin (Yfh1p); isu1 isu2 double mutant is inviable; ISU1 has a paralog, ISU2, that arose from the whole genome duplication</t>
  </si>
  <si>
    <t>ISU2</t>
  </si>
  <si>
    <t>YOR226C</t>
  </si>
  <si>
    <t>Protein required for synthesis of iron-sulfur proteins; localized to the mitochondrial matrix; performs a scaffolding function in mitochondria during Fe/S cluster assembly; involved in Fe-S cluster assembly for both mitochondrial and cytosolic proteins; isu1 isu2 double mutant is inviable; protein abundance increases in response to DNA replication stress; evolutionarily conserved; ISU2 has a paralog, ISU1, that arose from the whole genome duplication</t>
  </si>
  <si>
    <t>JAC1</t>
  </si>
  <si>
    <t>YGL018C</t>
  </si>
  <si>
    <t>Specialized J-protein that functions in Fe-S cluster biogenesis; functions with Hsp70 in Fe-S cluster biogenesis in mitochondria; involved in iron metabolism; contains a J domain typical to J-type chaperones; localizes to the mitochondrial matrix</t>
  </si>
  <si>
    <t>JEN1</t>
  </si>
  <si>
    <t>YKL217W</t>
  </si>
  <si>
    <t>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</si>
  <si>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JID1</t>
  </si>
  <si>
    <t>YPR061C</t>
  </si>
  <si>
    <t>Probable Hsp40p co-chaperone; has a DnaJ-like domain and appears to be involved in ER-associated degradation of misfolded proteins containing a tightly folded cytoplasmic domain; inhibits replication of Brome mosaic virus in S. cerevisiae</t>
  </si>
  <si>
    <t>KAR2</t>
  </si>
  <si>
    <t>YJL034W</t>
  </si>
  <si>
    <t>ATPase involved in protein import into the ER; also acts as a chaperone to mediate protein folding in the ER and may play a role in ER export of soluble proteins; regulates the unfolded protein response via interaction with Ire1p</t>
  </si>
  <si>
    <t>KGD1</t>
  </si>
  <si>
    <t>YIL125W</t>
  </si>
  <si>
    <t>Subunit of the mitochondrial alpha-ketoglutarate dehydrogenase complex; catalyzes a key step in the tricarboxylic acid (TCA) cycle, the oxidative decarboxylation of alpha-ketoglutarate to form succinyl-CoA</t>
  </si>
  <si>
    <t>KGD2</t>
  </si>
  <si>
    <t>YDR148C</t>
  </si>
  <si>
    <t>Dihydrolipoyl transsuccinylase; component of the mitochondrial alpha-ketoglutarate dehydrogenase complex, which catalyzes the oxidative decarboxylation of alpha-ketoglutarate to succinyl-CoA in the TCA cycle; phosphorylated</t>
  </si>
  <si>
    <t>LAP2</t>
  </si>
  <si>
    <t>YNL045W</t>
  </si>
  <si>
    <t>Leucyl aminopeptidase yscIV with epoxide hydrolase activity; metalloenzyme containing one zinc atom; green fluorescent protein (GFP)-fusion protein localizes to the cytoplasm and nucleus; also known as leukotriene A4 hydrolase</t>
  </si>
  <si>
    <t>LAP3</t>
  </si>
  <si>
    <t>YNL239W</t>
  </si>
  <si>
    <t>Cysteine aminopeptidase with homocysteine-thiolactonase activity; protects cells against homocysteine toxicity; has bleomycin hydrolase activity in vitro; transcription is regulated by galactose via Gal4p; orthologous to human BLMH</t>
  </si>
  <si>
    <t>LAT1</t>
  </si>
  <si>
    <t>YNL071W</t>
  </si>
  <si>
    <t>Dihydrolipoamide acetyltransferase component (E2) of the PDC; the pyruvate dehydrogenase complex (PDC) catalyzes the oxidative decarboxylation of pyruvate to acetyl-CoA</t>
  </si>
  <si>
    <t>LEM3</t>
  </si>
  <si>
    <t>YNL323W</t>
  </si>
  <si>
    <t>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t>
  </si>
  <si>
    <t>LEU4</t>
  </si>
  <si>
    <t>YNL104C</t>
  </si>
  <si>
    <t>Alpha-isopropylmalate synthase (2-isopropylmalate synthase); the main isozyme responsible for the first step in the leucine biosynthesis pathway; LEU4 has a paralog, LEU9, that arose from the whole genome duplication</t>
  </si>
  <si>
    <t>LEU5</t>
  </si>
  <si>
    <t>YHR002W</t>
  </si>
  <si>
    <t>Mitochondrial carrier protein; involved in the accumulation of CoA in the mitochondrial matrix; homolog of human Graves disease protein; does not encode an isozyme of Leu4p, as first hypothesized</t>
  </si>
  <si>
    <t>LEU9</t>
  </si>
  <si>
    <t>YOR108W</t>
  </si>
  <si>
    <t>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</si>
  <si>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LHS1</t>
  </si>
  <si>
    <t>YKL073W</t>
  </si>
  <si>
    <t>Molecular chaperone of the endoplasmic reticulum lumen; involved in polypeptide translocation and folding; nucleotide exchange factor for the ER lumenal Hsp70 chaperone Kar2p; regulated by the unfolded protein response pathway</t>
  </si>
  <si>
    <t>LIP2</t>
  </si>
  <si>
    <t>YLR239C</t>
  </si>
  <si>
    <t>Lipoyl ligase; involved in the modification of mitochondrial enzymes by the attachment of lipoic acid groups</t>
  </si>
  <si>
    <t>LIP5</t>
  </si>
  <si>
    <t>YOR196C</t>
  </si>
  <si>
    <t>Protein involved in biosynthesis of the coenzyme lipoic acid; has similarity to E. coli lipoic acid synthase</t>
  </si>
  <si>
    <t>LPD1</t>
  </si>
  <si>
    <t>YFL018C</t>
  </si>
  <si>
    <t>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</si>
  <si>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LSC1</t>
  </si>
  <si>
    <t>YOR142W</t>
  </si>
  <si>
    <t>Alpha subunit of succinyl-CoA ligase; succinyl-CoA ligase is a mitochondrial enzyme of the TCA cycle that catalyzes the nucleotide-dependent conversion of succinyl-CoA to succinate; phosphorylated</t>
  </si>
  <si>
    <t>LSC2</t>
  </si>
  <si>
    <t>YGR244C</t>
  </si>
  <si>
    <t>Beta subunit of succinyl-CoA ligase; succinyl-CoA ligase is a mitochondrial enzyme of the TCA cycle that catalyzes the nucleotide-dependent conversion of succinyl-CoA to succinate</t>
  </si>
  <si>
    <t>LSP1</t>
  </si>
  <si>
    <t>YPL004C</t>
  </si>
  <si>
    <t>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t>
  </si>
  <si>
    <t>LYS12</t>
  </si>
  <si>
    <t>YIL094C</t>
  </si>
  <si>
    <t>Homo-isocitrate dehydrogenase; an NAD-linked mitochondrial enzyme required for the fourth step in the biosynthesis of lysine, in which homo-isocitrate is oxidatively decarboxylated to alpha-ketoadipate</t>
  </si>
  <si>
    <t>LYS4</t>
  </si>
  <si>
    <t>YDR234W</t>
  </si>
  <si>
    <t>Homoaconitase; catalyzes the conversion of homocitrate to homoisocitrate, which is a step in the lysine biosynthesis pathway</t>
  </si>
  <si>
    <t>MAE1</t>
  </si>
  <si>
    <t>YKL029C</t>
  </si>
  <si>
    <t>Mitochondrial malic enzyme; catalyzes the oxidative decarboxylation of malate to pyruvate, which is a key intermediate in sugar metabolism and a precursor for synthesis of several amino acids</t>
  </si>
  <si>
    <t>MAM33</t>
  </si>
  <si>
    <t>YIL070C</t>
  </si>
  <si>
    <t>Acidic protein of the mitochondrial matrix; involved in oxidative phosphorylation; related to the human complement receptor gC1q-R</t>
  </si>
  <si>
    <t>MAS1</t>
  </si>
  <si>
    <t>YLR163C</t>
  </si>
  <si>
    <t>Beta subunit of the mitochondrial processing protease (MPP); essential processing enzyme that cleaves the N-terminal targeting sequences from mitochondrially imported proteins</t>
  </si>
  <si>
    <t>MAS2</t>
  </si>
  <si>
    <t>YHR024C</t>
  </si>
  <si>
    <t>Alpha subunit of the mitochondrial processing protease (MPP); essential processing enzyme that cleaves the N-terminal targeting sequences from mitochondrially imported proteins</t>
  </si>
  <si>
    <t>MBA1</t>
  </si>
  <si>
    <t>YBR185C</t>
  </si>
  <si>
    <t>Membrane-associated mitochondrial ribosome receptor; forms a complex with Mdm38p that may facilitate recruitment of mRNA-specific translational activators to ribosomes; possible role in protein export from the matrix to inner membrane</t>
  </si>
  <si>
    <t>MBF1</t>
  </si>
  <si>
    <t>YOR298C-A</t>
  </si>
  <si>
    <t>Transcriptional coactivator; bridges the DNA-binding region of Gcn4p and TATA-binding protein Spt15p; suppressor of frameshift mutations; protein abundance increases in response to DNA replication stress</t>
  </si>
  <si>
    <t>MCP1</t>
  </si>
  <si>
    <t>YOR228C</t>
  </si>
  <si>
    <t>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t>
  </si>
  <si>
    <t>MCP2</t>
  </si>
  <si>
    <t>YLR253W</t>
  </si>
  <si>
    <t>Mitochondrial protein of unknown function involved in lipid homeostasis;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t>
  </si>
  <si>
    <t>MCR1</t>
  </si>
  <si>
    <t>YKL150W</t>
  </si>
  <si>
    <t>Mitochondrial NADH-cytochrome b5 reductase; involved in ergosterol biosynthesis</t>
  </si>
  <si>
    <t>MCT1</t>
  </si>
  <si>
    <t>YOR221C</t>
  </si>
  <si>
    <t>Predicted malonyl-CoA:ACP transferase; putative component of a type-II mitochondrial fatty acid synthase that produces intermediates for phospholipid remodeling</t>
  </si>
  <si>
    <t>MCX1</t>
  </si>
  <si>
    <t>YBR227C</t>
  </si>
  <si>
    <t>Mitochondrial matrix protein; putative ATP-binding chaperone with non-proteolytic function; similar to bacterial ClpX proteins</t>
  </si>
  <si>
    <t>MDG1</t>
  </si>
  <si>
    <t>YNL173C</t>
  </si>
  <si>
    <t>Plasma membrane protein; involved in G-protein mediated pheromone signaling pathway; overproduction suppresses bem1 mutations; MDG1 has a paralog, CRP1, that arose from the whole genome duplication</t>
  </si>
  <si>
    <t>MDH1</t>
  </si>
  <si>
    <t>YKL085W</t>
  </si>
  <si>
    <t>Mitochondrial malate dehydrogenase; catalyzes interconversion of malate and oxaloacetate; involved in the tricarboxylic acid (TCA) cycle; phosphorylated</t>
  </si>
  <si>
    <t>MDH2</t>
  </si>
  <si>
    <t>YOL126C</t>
  </si>
  <si>
    <t>Cytoplasmic malate dehydrogenase; one of three isozymes that catalyze interconversion of malate and oxaloacetate; involved in the glyoxylate cycle and gluconeogenesis during growth on two-carbon compounds; interacts with Pck1p and Fbp1</t>
  </si>
  <si>
    <t>MDH3</t>
  </si>
  <si>
    <t>YDL078C</t>
  </si>
  <si>
    <t>Peroxisomal malate dehydrogenase; catalyzes interconversion of malate and oxaloacetate; involved in the glyoxylate cycle</t>
  </si>
  <si>
    <t>MDJ1</t>
  </si>
  <si>
    <t>YFL016C</t>
  </si>
  <si>
    <t>Co-chaperone that stimulates HSP70 protein Ssc1p ATPase activity; involved in protein folding/refolding in the mitochodrial matrix; required for proteolysis of misfolded proteins; member of the HSP40 (DnaJ) family of chaperones</t>
  </si>
  <si>
    <t>MDJ2</t>
  </si>
  <si>
    <t>YNL328C</t>
  </si>
  <si>
    <t>Constituent of the mitochondrial import motor; associated with the presequence translocase; function overlaps with that of Pam18p; stimulates the ATPase activity of Ssc1p to drive mitochondrial import; contains a J domain</t>
  </si>
  <si>
    <t>MDL1</t>
  </si>
  <si>
    <t>YLR188W</t>
  </si>
  <si>
    <t>Mitochondrial inner membrane half-type ABC transporter; mediates export of peptides generated upon proteolysis of mitochondrial proteins; plays a role in the regulation of cellular resistance to oxidative stress</t>
  </si>
  <si>
    <t>MDL2</t>
  </si>
  <si>
    <t>YPL270W</t>
  </si>
  <si>
    <t>Mitochondrial inner membrane half-type ABC transporter; required for respiratory growth at high temperature; localizes to vacuole membrane in response to H2O2; similar to human TAP1 and TAP2 implicated in bare lymphocyte syndrome and Wegener-like granulomatosis</t>
  </si>
  <si>
    <t>MDM10</t>
  </si>
  <si>
    <t>YAL010C</t>
  </si>
  <si>
    <t>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t>
  </si>
  <si>
    <t>MDM31</t>
  </si>
  <si>
    <t>YHR194W</t>
  </si>
  <si>
    <t>Mitochondrial protein that may have a role in phospholipid metabolism; inner membrane protein with similarity to Mdm32p; required for normal mitochondrial morphology and inheritance; interacts genetically with MMM1, MMM2, MDM10, MDM12, and MDM34</t>
  </si>
  <si>
    <t>MDM32</t>
  </si>
  <si>
    <t>YOR147W</t>
  </si>
  <si>
    <t>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t>
  </si>
  <si>
    <t>MDM34</t>
  </si>
  <si>
    <t>YGL219C</t>
  </si>
  <si>
    <t>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</si>
  <si>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MDM35</t>
  </si>
  <si>
    <t>YKL053C-A</t>
  </si>
  <si>
    <t>Mitochondrial intermembrane space protein; mutation affects mitochondrial distribution and morphology; contains twin cysteine-x9-cysteine motifs; protein abundance increases in response to DNA replication stress</t>
  </si>
  <si>
    <t>MDM38</t>
  </si>
  <si>
    <t>YOL027C</t>
  </si>
  <si>
    <t>Mitochondrial protein; forms a complex with Mba1p to facilitate recruitment of mRNA-specific translational activators to ribosomes; roles in protein export and K+/H+ exchange; human ortholog Letm1 implicated in Wolf-Hirschhorn syndrome</t>
  </si>
  <si>
    <t>MDV1</t>
  </si>
  <si>
    <t>YJL112W</t>
  </si>
  <si>
    <t>Peripheral protein of cytosolic face of mitochondrial outer membrane; required for mitochondrial fission; interacts with Fis1p and with the dynamin-related GTPase Dnm1p; contains WD repeats; MDV1 has a paralog, CAF4, that arose from the whole genome duplication</t>
  </si>
  <si>
    <t>MEF1</t>
  </si>
  <si>
    <t>YLR069C</t>
  </si>
  <si>
    <t>Mitochondrial elongation factor involved in translational elongation</t>
  </si>
  <si>
    <t>MEF2</t>
  </si>
  <si>
    <t>YJL102W</t>
  </si>
  <si>
    <t>MET6</t>
  </si>
  <si>
    <t>YER091C</t>
  </si>
  <si>
    <t>Cobalamin-independent methionine synthase; involved in methionine biosynthesis and regeneration; requires a minimum of two glutamates on the methyltetrahydrofolate substrate, similar to bacterial metE homologs</t>
  </si>
  <si>
    <t>MET7</t>
  </si>
  <si>
    <t>YOR241W</t>
  </si>
  <si>
    <t>Folylpolyglutamate synthetase; catalyzes extension of the glutamate chains of the folate coenzymes, required for methionine synthesis and for maintenance of mitochondrial DNA; protein abundance increases in response to DNA replication stress</t>
  </si>
  <si>
    <t>MEU1</t>
  </si>
  <si>
    <t>YLR017W</t>
  </si>
  <si>
    <t>Methylthioadenosine phosphorylase (MTAP); catalyzes the initial step in the methionine salvage pathway; affects polyamine biosynthesis through regulation of ornithine decarboxylase (Spe1p) activity; regulates ADH2 gene expression</t>
  </si>
  <si>
    <t>MGE1</t>
  </si>
  <si>
    <t>YOR232W</t>
  </si>
  <si>
    <t>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t>
  </si>
  <si>
    <t>MGM1</t>
  </si>
  <si>
    <t>YOR211C</t>
  </si>
  <si>
    <t>Mitochondrial GTPase, present in complex with Ugo1p and Fzo1p; required for mitochondrial morphology, fusion, and genome maintenance; exists as long and short form with different distributions; ratio of long to short forms is regulated by Psd1p; homolog of human OPA1 involved in autosomal dominant optic atrophy</t>
  </si>
  <si>
    <t>MGM101</t>
  </si>
  <si>
    <t>YJR144W</t>
  </si>
  <si>
    <t>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t>
  </si>
  <si>
    <t>MGR1</t>
  </si>
  <si>
    <t>YCL044C</t>
  </si>
  <si>
    <t>Subunit of the mitochondrial (mt) i-AAA protease supercomplex; i-AAA degrades misfolded mitochondrial proteins; forms a subcomplex with Mgr3p that binds to substrates to facilitate proteolysis; required for growth of cells lacking mtDNA</t>
  </si>
  <si>
    <t>MGR2</t>
  </si>
  <si>
    <t>YPL098C</t>
  </si>
  <si>
    <t>Subunit of the TIM23 translocase complex; acts to couple Tim21p with the core Tim23 translocase; absolutely required for mitochondrial import of presequence-containing proteins at elevated temperature; required for viability of cells lacking the mitochondrial genome (petite-negative phenotype)</t>
  </si>
  <si>
    <t>MGR3</t>
  </si>
  <si>
    <t>YMR115W</t>
  </si>
  <si>
    <t>Subunit of the mitochondrial (mt) i-AAA protease supercomplex; i-AAA degrades misfolded mitochondrial proteins; forms a subcomplex with Mgr1p that binds to substrates to facilitate proteolysis; required for growth of cells lacking mtDNA</t>
  </si>
  <si>
    <t>MHO1</t>
  </si>
  <si>
    <t>YJR008W</t>
  </si>
  <si>
    <t>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t>
  </si>
  <si>
    <t>MHR1</t>
  </si>
  <si>
    <t>YDR296W</t>
  </si>
  <si>
    <t>Protein involved in homologous recombination in mitochondria; required for recombination-dependent mtDNA partitioning; involved in stimulation of mitochondrial DNA replication in response to oxidative stress</t>
  </si>
  <si>
    <t>MIA40</t>
  </si>
  <si>
    <t>YKL195W</t>
  </si>
  <si>
    <t>Mitochondrial oxidoreductase; involved in mitochondrial intermembrane space import;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t>
  </si>
  <si>
    <t>MIC10</t>
  </si>
  <si>
    <t>YCL057C-A</t>
  </si>
  <si>
    <t>Conserved 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ortholog of human MINOS1</t>
  </si>
  <si>
    <t>MIC12</t>
  </si>
  <si>
    <t>YBR262C</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</si>
  <si>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t>
  </si>
  <si>
    <t>YLH47</t>
  </si>
  <si>
    <t>MIC19</t>
  </si>
  <si>
    <t>YFR011C</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</si>
  <si>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t>
  </si>
  <si>
    <t>MIC26</t>
  </si>
  <si>
    <t>YGR235C</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</si>
  <si>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t>
  </si>
  <si>
    <t>MIC27</t>
  </si>
  <si>
    <t>YNL100W</t>
  </si>
  <si>
    <t>MIC60</t>
  </si>
  <si>
    <t>YKR016W</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</si>
  <si>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t>
  </si>
  <si>
    <t>YFR045W</t>
  </si>
  <si>
    <t>MIM1</t>
  </si>
  <si>
    <t>YOL026C</t>
  </si>
  <si>
    <t>Mitochondrial protein required for outer membrane protein import; cooperates with Tom70p to import the subset of proteins with multiple alpha-helical transmembrane segments, including Ugo1p, Tom20p, and others; present in a complex with Mim2p in the outer membrane that may create a local environment to facilitate membrane insertion of substrate proteins; also has a role in assembly of Tom20p into the TOM complex</t>
  </si>
  <si>
    <t>PET8</t>
  </si>
  <si>
    <t>MIM2</t>
  </si>
  <si>
    <t>YLR099W-A</t>
  </si>
  <si>
    <t>Mitochondrial protein required for outer membrane protein import; involved in import of the subset of proteins with multiple alpha-helical transmembrane segments, including Ugo1p, Tom20p, and Fzo1p; component of a large protein complex in the outer membrane that includes Mim1p; not essential in W303 strain background</t>
  </si>
  <si>
    <t>YPL168W</t>
  </si>
  <si>
    <t>MIP1</t>
  </si>
  <si>
    <t>YOR330C</t>
  </si>
  <si>
    <t>Mitochondrial DNA polymerase gamma subunit; conserved C-terminal segment is required for the maintenance of mitochondrial genome; its human ortholog, POLG, can rescue mip1 phenotypes, and mutations in POLG are associated with Alpers-Huttenlocher syndrome (AHS) and other mitochondrial diseases; Mip1p is the single subunit of mitochondrial DNA polymerase in yeast, in contrast to metazoans in which there is a complex of a catalytic subunit and an accessory subunit</t>
  </si>
  <si>
    <t>20.00*</t>
  </si>
  <si>
    <t>MIR1</t>
  </si>
  <si>
    <t>YJR077C</t>
  </si>
  <si>
    <t>Mitochondrial phosphate carrier; imports inorganic phosphate into mitochondria; functionally redundant with Pic2p but more abundant than Pic2p under normal conditions; phosphorylated</t>
  </si>
  <si>
    <t>MIS1</t>
  </si>
  <si>
    <t>YBR084W</t>
  </si>
  <si>
    <t>Mitochondrial C1-tetrahydrofolate synthase; involved in interconversion between different oxidation states of tetrahydrofolate (THF); provides activities of formyl-THF synthetase, methenyl-THF cyclohydrolase, and methylene-THF dehydrogenase</t>
  </si>
  <si>
    <t>MIX14</t>
  </si>
  <si>
    <t>YDR031W</t>
  </si>
  <si>
    <t>Mitochondrial intermembrane space protein of unknown function; required for normal oxygen consumption; contains twin cysteine-x9-cysteine motifs; protein abundance increases in response to DNA replication stress</t>
  </si>
  <si>
    <t>MIX17</t>
  </si>
  <si>
    <t>YMR002W</t>
  </si>
  <si>
    <t>Mitochondrial intermembrane space protein; required for normal oxygen consumption; contains twin cysteine-x9-cysteine motifs; protein abundance increases in response to DNA replication stress</t>
  </si>
  <si>
    <t>MIX23</t>
  </si>
  <si>
    <t>YBL107C</t>
  </si>
  <si>
    <t>Mitochondrial intermembrane space protein of unknown function; imported via the MIA import machinery; contains an unusual twin cysteine motif (CX13C CX14C)</t>
  </si>
  <si>
    <t>MLC1</t>
  </si>
  <si>
    <t>YGL106W</t>
  </si>
  <si>
    <t>Essential light chain for Myo1p; light chain for Myo2p; stabilizes Myo2p by binding to the neck region; interacts with Myo1p, Iqg1p, and Myo2p to coordinate formation and contraction of the actomyosin ring with targeted membrane deposition</t>
  </si>
  <si>
    <t>MMF1</t>
  </si>
  <si>
    <t>YIL051C</t>
  </si>
  <si>
    <t>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t>
  </si>
  <si>
    <t>MMM1</t>
  </si>
  <si>
    <t>YLL006W</t>
  </si>
  <si>
    <t>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</si>
  <si>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MMR1</t>
  </si>
  <si>
    <t>YLR190W</t>
  </si>
  <si>
    <t>Phosphorylated protein of the mitochondrial outer membrane; localizes only to mitochondria of the bud; interacts with Myo2p to mediate mitochondrial distribution to buds; mRNA is targeted to the bud via the transport system involving She2p</t>
  </si>
  <si>
    <t>MMT1</t>
  </si>
  <si>
    <t>YMR177W</t>
  </si>
  <si>
    <t>Putative metal transporter involved in mitochondrial iron accumulation; MMT1 has a paralog, MMT2, that arose from the whole genome duplication</t>
  </si>
  <si>
    <t>MMT2</t>
  </si>
  <si>
    <t>YPL224C</t>
  </si>
  <si>
    <t>Putative metal transporter involved in mitochondrial iron accumulation; MMT2 has a paralog, MMT1, that arose from the whole genome duplication</t>
  </si>
  <si>
    <t>MNE1</t>
  </si>
  <si>
    <t>YOR350C</t>
  </si>
  <si>
    <t>Protein involved in splicing Group I aI5-beta intron from COX1 mRNA; mitochondrial matrix protein</t>
  </si>
  <si>
    <t>MNP1</t>
  </si>
  <si>
    <t>YGL068W</t>
  </si>
  <si>
    <t>Protein associated with the mitochondrial nucleoid; putative mitochondrial ribosomal protein with similarity to E. coli L7/L12 ribosomal protein; required for normal respiratory growth</t>
  </si>
  <si>
    <t>MPC1</t>
  </si>
  <si>
    <t>YGL080W</t>
  </si>
  <si>
    <t>Highly conserved subunit of the mitochondrial pyruvate carrier; a mitochondrial inner membrane complex comprised of Mpc1p and either Mpc2p or Mpc3p mediates mitochondrial pyruvate uptake; null mutant displays slow growth that is complemented by expression of human or mouse ortholog; mutation in human ortholog is associated with lactic acidosis and hyperpyruvatemia</t>
  </si>
  <si>
    <t>MPC2</t>
  </si>
  <si>
    <t>YHR162W</t>
  </si>
  <si>
    <t>Highly conserved subunit of the mitochondrial pyruvate carrier; a mitochondrial inner membrane complex comprised of Mpc1p and either Mpc2p or Mpc3p mediates mitochondrial pyruvate uptake; more highly expressed in glucose-containing minimal medium than in lactate-containing medium; MPC2 has a paralog, FMP43, that arose from the whole genome duplication</t>
  </si>
  <si>
    <t>MPC3</t>
  </si>
  <si>
    <t>YGR243W</t>
  </si>
  <si>
    <t>Highly conserved subunit of mitochondrial pyruvate carrier; more highly expressed in glucose-containing minimal medium than in lactate-containing medium; expression regulated by osmotic and alkaline stresses; protein abundance increases in response to DNA replication stress; MPC3 has a paralog, MPC2, that arose from the whole genome duplication</t>
  </si>
  <si>
    <t>MPD2</t>
  </si>
  <si>
    <t>YOL088C</t>
  </si>
  <si>
    <t>Member of the protein disulfide isomerase (PDI) family; exhibits chaperone activity; overexpression suppresses the lethality of a pdi1 deletion but does not complement all Pdi1p functions; undergoes oxidation by Ero1p</t>
  </si>
  <si>
    <t>MPM1</t>
  </si>
  <si>
    <t>YJL066C</t>
  </si>
  <si>
    <t>Mitochondrial intermembrane space protein of unknown function</t>
  </si>
  <si>
    <t>MRF1</t>
  </si>
  <si>
    <t>YGL143C</t>
  </si>
  <si>
    <t>Mitochondrial translation release factor; involved in stop codon recognition and hydrolysis of the peptidyl-tRNA bond during mitochondrial translation; lack of MRF1 causes mitochondrial genome instability</t>
  </si>
  <si>
    <t>MRH1</t>
  </si>
  <si>
    <t>YDR033W</t>
  </si>
  <si>
    <t>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t>
  </si>
  <si>
    <t>MRH4</t>
  </si>
  <si>
    <t>YGL064C</t>
  </si>
  <si>
    <t>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t>
  </si>
  <si>
    <t>MRM1</t>
  </si>
  <si>
    <t>YOR201C</t>
  </si>
  <si>
    <t>Ribose methyltransferase; modifies a functionally critical, conserved nucleotide in mitochondrial 21S rRNA</t>
  </si>
  <si>
    <t>MRM2</t>
  </si>
  <si>
    <t>YGL136C</t>
  </si>
  <si>
    <t>Mitochondrial 2' O-ribose methyltransferase; required for methylation of U(2791) in 21S rRNA; MRM2 deletion confers thermosensitive respiration and loss of mitochondrial DNA; has similarity to Spb1p and Trm7p, and to E. coli FtsJ/RrmJ</t>
  </si>
  <si>
    <t>MRP1</t>
  </si>
  <si>
    <t>YDR347W</t>
  </si>
  <si>
    <t>Mitochondrial ribosomal protein of the small subunit; MRP1 exhibits genetic interactions with PET122, encoding a COX3-specific translational activator, and with PET123, encoding a small subunit mitochondrial ribosomal protein</t>
  </si>
  <si>
    <t>MRP10</t>
  </si>
  <si>
    <t>YDL045W-A</t>
  </si>
  <si>
    <t>Mitochondrial ribosomal protein of the small subunit; contains twin cysteine-x9-cysteine motifs; oxidized by Mia40p during import into mitochondria</t>
  </si>
  <si>
    <t>MRP13</t>
  </si>
  <si>
    <t>YGR084C</t>
  </si>
  <si>
    <t>Mitochondrial ribosomal protein of the small subunit</t>
  </si>
  <si>
    <t>MRP17</t>
  </si>
  <si>
    <t>YKL003C</t>
  </si>
  <si>
    <t>Mitochondrial ribosomal protein of the small subunit; MRP17 exhibits genetic interactions with PET122, encoding a COX3-specific translational activator</t>
  </si>
  <si>
    <t>MRP2</t>
  </si>
  <si>
    <t>YPR166C</t>
  </si>
  <si>
    <t>MRP20</t>
  </si>
  <si>
    <t>YDR405W</t>
  </si>
  <si>
    <t>Mitochondrial ribosomal protein of the large subunit</t>
  </si>
  <si>
    <t>MRP21</t>
  </si>
  <si>
    <t>YBL090W</t>
  </si>
  <si>
    <t>Mitochondrial ribosomal protein of the small subunit; MRP21 exhibits genetic interactions with mutations in the COX2 and COX3 mRNA 5'-untranslated leader sequences</t>
  </si>
  <si>
    <t>MRP4</t>
  </si>
  <si>
    <t>YHL004W</t>
  </si>
  <si>
    <t>MRP49</t>
  </si>
  <si>
    <t>YKL167C</t>
  </si>
  <si>
    <t>Mitochondrial ribosomal protein of the large subunit; not essential for mitochondrial translation</t>
  </si>
  <si>
    <t>MRP51</t>
  </si>
  <si>
    <t>YPL118W</t>
  </si>
  <si>
    <t>Mitochondrial ribosomal protein of the small subunit; MRP51 exhibits genetic interactions with mutations in the COX2 and COX3 mRNA 5'-untranslated leader sequences</t>
  </si>
  <si>
    <t>MRP7</t>
  </si>
  <si>
    <t>YNL005C</t>
  </si>
  <si>
    <t>MRPL1</t>
  </si>
  <si>
    <t>YDR116C</t>
  </si>
  <si>
    <t>MRPL10</t>
  </si>
  <si>
    <t>YNL284C</t>
  </si>
  <si>
    <t>Mitochondrial ribosomal protein of the large subunit; appears as two protein spots (YmL10 and YmL18) on two-dimensional SDS gels</t>
  </si>
  <si>
    <t>MRPL11</t>
  </si>
  <si>
    <t>YDL202W</t>
  </si>
  <si>
    <t>Mitochondrial ribosomal protein of the large subunit; localizes to vacuole in response to H2O2</t>
  </si>
  <si>
    <t>MRPL13</t>
  </si>
  <si>
    <t>YKR006C</t>
  </si>
  <si>
    <t>MRPL15</t>
  </si>
  <si>
    <t>YLR312W-A</t>
  </si>
  <si>
    <t>MRPL16</t>
  </si>
  <si>
    <t>YBL038W</t>
  </si>
  <si>
    <t>Mitochondrial ribosomal protein of the large subunit; homologous to bacterial L16 ribosomal protein; synthetic lethality with hac1 mutation suggests a possible role in synthesis of precursors for protein glycosylation</t>
  </si>
  <si>
    <t>MRPL17</t>
  </si>
  <si>
    <t>YNL252C</t>
  </si>
  <si>
    <t>MRPL19</t>
  </si>
  <si>
    <t>YNL185C</t>
  </si>
  <si>
    <t>OMA1</t>
  </si>
  <si>
    <t>MRPL20</t>
  </si>
  <si>
    <t>YKR085C</t>
  </si>
  <si>
    <t>MRPL22</t>
  </si>
  <si>
    <t>YNL177C</t>
  </si>
  <si>
    <t>RCR1</t>
  </si>
  <si>
    <t>MRPL23</t>
  </si>
  <si>
    <t>YOR150W</t>
  </si>
  <si>
    <t>MRPL24</t>
  </si>
  <si>
    <t>YMR193W</t>
  </si>
  <si>
    <t>Mitochondrial ribosomal protein of the large subunit; two mitochondrial ribosomal proteins, YmL14 and YmL24, have been assigned to the same gene</t>
  </si>
  <si>
    <t>MRPL25</t>
  </si>
  <si>
    <t>YGR076C</t>
  </si>
  <si>
    <t>Mitochondrial ribosomal protein of the large subunit; mutation confers increased replicative lifespan</t>
  </si>
  <si>
    <t>MRPL27</t>
  </si>
  <si>
    <t>YBR282W</t>
  </si>
  <si>
    <t>Mitochondrial ribosomal protein of the large subunit; homolog of human Bcl-2 interacting protein BMRP</t>
  </si>
  <si>
    <t>MRPL28</t>
  </si>
  <si>
    <t>YDR462W</t>
  </si>
  <si>
    <t>Mitochondrial ribosomal protein of the large subunit; protein abundance increases in response to DNA replication stress</t>
  </si>
  <si>
    <t>MRPL3</t>
  </si>
  <si>
    <t>YMR024W</t>
  </si>
  <si>
    <t>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t>
  </si>
  <si>
    <t>MRPL31</t>
  </si>
  <si>
    <t>YKL138C</t>
  </si>
  <si>
    <t>SCO1</t>
  </si>
  <si>
    <t>MRPL32</t>
  </si>
  <si>
    <t>YCR003W</t>
  </si>
  <si>
    <t>MRPL33</t>
  </si>
  <si>
    <t>YMR286W</t>
  </si>
  <si>
    <t>OMS1</t>
  </si>
  <si>
    <t>MRPL35</t>
  </si>
  <si>
    <t>YDR322W</t>
  </si>
  <si>
    <t>YBL029C-A</t>
  </si>
  <si>
    <t>MRPL36</t>
  </si>
  <si>
    <t>YBR122C</t>
  </si>
  <si>
    <t>Mitochondrial ribosomal protein of the large subunit; overproduction suppresses mutations in the COX2 leader peptide-encoding region</t>
  </si>
  <si>
    <t>MRPL37</t>
  </si>
  <si>
    <t>YBR268W</t>
  </si>
  <si>
    <t>MRPL38</t>
  </si>
  <si>
    <t>YKL170W</t>
  </si>
  <si>
    <t>Mitochondrial ribosomal protein of the large subunit; appears as two protein spots (YmL34 and YmL38) on two-dimensional SDS gels; protein abundance increases in response to DNA replication stress</t>
  </si>
  <si>
    <t>MRPL39</t>
  </si>
  <si>
    <t>YML009C</t>
  </si>
  <si>
    <t>MRPL4</t>
  </si>
  <si>
    <t>YLR439W</t>
  </si>
  <si>
    <t>Mitochondrial ribosomal protein of the large subunit; homolog of prokaryotic L29 ribosomal protein; located at the ribosomal tunnel exit</t>
  </si>
  <si>
    <t>MRPL40</t>
  </si>
  <si>
    <t>YPL173W</t>
  </si>
  <si>
    <t>MRPL44</t>
  </si>
  <si>
    <t>YMR225C</t>
  </si>
  <si>
    <t>MRPL49</t>
  </si>
  <si>
    <t>YJL096W</t>
  </si>
  <si>
    <t>MRPL50</t>
  </si>
  <si>
    <t>YNR022C</t>
  </si>
  <si>
    <t>MRPL51</t>
  </si>
  <si>
    <t>YPR100W</t>
  </si>
  <si>
    <t>MRPL6</t>
  </si>
  <si>
    <t>YHR147C</t>
  </si>
  <si>
    <t>MRPL7</t>
  </si>
  <si>
    <t>YDR237W</t>
  </si>
  <si>
    <t>Mitochondrial ribosomal protein of the large subunit; MRPL7 produces both YmL5 and YmL7, which are two different modified forms of the same protein</t>
  </si>
  <si>
    <t>MRPL8</t>
  </si>
  <si>
    <t>YJL063C</t>
  </si>
  <si>
    <t>MRPL9</t>
  </si>
  <si>
    <t>YGR220C</t>
  </si>
  <si>
    <t>MRPS12</t>
  </si>
  <si>
    <t>YNR036C</t>
  </si>
  <si>
    <t>Mitochondrial protein; may interact with ribosomes based on co-purification experiments; similar to E. coli and human mitochondrial S12 ribosomal proteins</t>
  </si>
  <si>
    <t>MRPS16</t>
  </si>
  <si>
    <t>YPL013C</t>
  </si>
  <si>
    <t>RIM2</t>
  </si>
  <si>
    <t>MRPS17</t>
  </si>
  <si>
    <t>YMR188C</t>
  </si>
  <si>
    <t>MRPS18</t>
  </si>
  <si>
    <t>YNL306W</t>
  </si>
  <si>
    <t>Mitochondrial ribosomal protein of the small subunit; essential for viability, unlike most other mitoribosomal proteins</t>
  </si>
  <si>
    <t>MRPS28</t>
  </si>
  <si>
    <t>YDR337W</t>
  </si>
  <si>
    <t>ORT1</t>
  </si>
  <si>
    <t>MRPS35</t>
  </si>
  <si>
    <t>YGR165W</t>
  </si>
  <si>
    <t>Mitochondrial ribosomal protein of the small subunit; null mutant does not grow on glycerol, is sensitive to 2,4-dichlorophenol, and accumulates large lipid droplets</t>
  </si>
  <si>
    <t>MRPS5</t>
  </si>
  <si>
    <t>YBR251W</t>
  </si>
  <si>
    <t>MRPS8</t>
  </si>
  <si>
    <t>YMR158W</t>
  </si>
  <si>
    <t>MRPS9</t>
  </si>
  <si>
    <t>YBR146W</t>
  </si>
  <si>
    <t>MRS1</t>
  </si>
  <si>
    <t>YIR021W</t>
  </si>
  <si>
    <t>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t>
  </si>
  <si>
    <t>QCR8</t>
  </si>
  <si>
    <t>MRS3</t>
  </si>
  <si>
    <t>YJL133W</t>
  </si>
  <si>
    <t>Iron transporter, mediates Fe2+ transport across inner mito membrane; mitochondrial carrier family member; active under low-iron conditions; may transport other cations; MRS3 has a paralog, MRS4, that arose from the whole genome duplication</t>
  </si>
  <si>
    <t>SHY1</t>
  </si>
  <si>
    <t>MRS4</t>
  </si>
  <si>
    <t>YKR052C</t>
  </si>
  <si>
    <t>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t>
  </si>
  <si>
    <t>YKL133C</t>
  </si>
  <si>
    <t>MSC1</t>
  </si>
  <si>
    <t>YML128C</t>
  </si>
  <si>
    <t>Protein of unknown function; mutant is defective in directing meiotic recombination events to homologous chromatids; the authentic, non-tagged protein is detected in highly purified mitochondria and is phosphorylated</t>
  </si>
  <si>
    <t>MSC3</t>
  </si>
  <si>
    <t>YLR219W</t>
  </si>
  <si>
    <t>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t>
  </si>
  <si>
    <t>MSC6</t>
  </si>
  <si>
    <t>YOR354C</t>
  </si>
  <si>
    <t>Protein of unknown function; mutant is defective in directing meiotic recombination events to homologous chromatids; the authentic, non-tagged protein is detected in highly purified mitochondria in high-throughput studies</t>
  </si>
  <si>
    <t>YIL077C</t>
  </si>
  <si>
    <t>MSC7</t>
  </si>
  <si>
    <t>YHR039C</t>
  </si>
  <si>
    <t>Protein of unknown function; green fluorescent protein (GFP)-fusion protein localizes to the endoplasmic reticulum; msc7 mutants are defective in directing meiotic recombination events to homologous chromatids</t>
  </si>
  <si>
    <t>MSD1</t>
  </si>
  <si>
    <t>YPL104W</t>
  </si>
  <si>
    <t>Mitochondrial aspartyl-tRNA synthetase; required for acylation of aspartyl-tRNA; yeast and bacterial aspartyl-, asparaginyl-, and lysyl-tRNA synthetases contain regions with high sequence similarity, suggesting a common ancestral gene</t>
  </si>
  <si>
    <t>TPO1</t>
  </si>
  <si>
    <t>MSE1</t>
  </si>
  <si>
    <t>YOL033W</t>
  </si>
  <si>
    <t>Mitochondrial glutamyl-tRNA synthetase; predicted to be palmitoylated</t>
  </si>
  <si>
    <t>RAX1</t>
  </si>
  <si>
    <t>MSF1</t>
  </si>
  <si>
    <t>YPR047W</t>
  </si>
  <si>
    <t>Mitochondrial phenylalanyl-tRNA synthetase; active as a monomer, unlike the cytoplasmic subunit which is active as a dimer complexed to a beta subunit dimer; similar to the alpha subunit of E. coli phenylalanyl-tRNA synthetase</t>
  </si>
  <si>
    <t>YDL027C</t>
  </si>
  <si>
    <t>MSH1</t>
  </si>
  <si>
    <t>YHR120W</t>
  </si>
  <si>
    <t>DNA-binding protein of the mitochondria; involved in repair of mitochondrial DNA; has ATPase activity and binds to DNA mismatches; has homology to E. coli MutS; transcription is induced during meiosis</t>
  </si>
  <si>
    <t>MSK1</t>
  </si>
  <si>
    <t>YNL073W</t>
  </si>
  <si>
    <t>Mitochondrial lysine-tRNA synthetase; required for import of both aminoacylated and deacylated forms of tRNA(Lys) into mitochondria and for aminoacylation of mitochondrially encoded tRNA(Lys)</t>
  </si>
  <si>
    <t>MSM1</t>
  </si>
  <si>
    <t>YGR171C</t>
  </si>
  <si>
    <t>Mitochondrial methionyl-tRNA synthetase (MetRS); functions as a monomer in mitochondrial protein synthesis; functions similarly to cytoplasmic MetRS although the cytoplasmic form contains a zinc-binding domain not found in Msm1p</t>
  </si>
  <si>
    <t>MSP1</t>
  </si>
  <si>
    <t>YGR028W</t>
  </si>
  <si>
    <t>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t>
  </si>
  <si>
    <t>MSR1</t>
  </si>
  <si>
    <t>YHR091C</t>
  </si>
  <si>
    <t>Mitochondrial arginyl-tRNA synthetase; mutations in human ortholog are associated with pontocerebellar hypoplasia type 6; MSR1 has a paralog, YDR341C, that arose from the whole genome duplication</t>
  </si>
  <si>
    <t>MSS1</t>
  </si>
  <si>
    <t>YMR023C</t>
  </si>
  <si>
    <t>Mitochondrial protein; forms a heterodimer complex with Mto1p that performs the 5-carboxymethylaminomethyl modification of the wobble uridine base in mitochondrial tRNAs; similar to human GTPBP3</t>
  </si>
  <si>
    <t>MSS116</t>
  </si>
  <si>
    <t>YDR194C</t>
  </si>
  <si>
    <t>Mitochondrial transcription elongation factor; DEAD-box protein; required for efficient splicing of mitochondrial Group I and II introns; non-polar RNA helicase that also facilities strand annealing; promotes RNA folding by stabilizing an early assembly intermediate</t>
  </si>
  <si>
    <t>MSS18</t>
  </si>
  <si>
    <t>YPR134W</t>
  </si>
  <si>
    <t>Nuclear encoded protein needed for splicing of mitochondrial intron; required for efficient splicing of mitochondrial COX1 aI5beta intron; mss18 mutations block cleavage of 5' exon - intron junction; phenotype of intronless strain suggests additional functions</t>
  </si>
  <si>
    <t>MSS2</t>
  </si>
  <si>
    <t>YDL107W</t>
  </si>
  <si>
    <t>Peripherally bound inner membrane protein of the mitochondrial matrix; involved in membrane insertion of C-terminus of Cox2p, interacts genetically and physically with Cox18p</t>
  </si>
  <si>
    <t>MSS51</t>
  </si>
  <si>
    <t>YLR203C</t>
  </si>
  <si>
    <t>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t>
  </si>
  <si>
    <t>MST1</t>
  </si>
  <si>
    <t>YKL194C</t>
  </si>
  <si>
    <t>Mitochondrial threonyl-tRNA synthetase; aminoacylates both the canonical threonine tRNA tT(UGU)Q1 and the unusual threonine tRNA tT(UAG)Q2 in vitro; lacks a typical editing domain, but has pre-transfer editing activity stimulated by the unusual tRNA-Thr</t>
  </si>
  <si>
    <t>MSW1</t>
  </si>
  <si>
    <t>YDR268W</t>
  </si>
  <si>
    <t>Mitochondrial tryptophanyl-tRNA synthetase</t>
  </si>
  <si>
    <t>YRO2</t>
  </si>
  <si>
    <t>MSY1</t>
  </si>
  <si>
    <t>YPL097W</t>
  </si>
  <si>
    <t>Mitochondrial tyrosyl-tRNA synthetase</t>
  </si>
  <si>
    <t>MTC3</t>
  </si>
  <si>
    <t>YGL226W</t>
  </si>
  <si>
    <t>Protein of unknown function; green fluorescent protein (GFP)-fusion protein localizes to the mitochondrion; mtc3 is synthetically sick with cdc13-1</t>
  </si>
  <si>
    <t>MTF1</t>
  </si>
  <si>
    <t>YMR228W</t>
  </si>
  <si>
    <t>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t>
  </si>
  <si>
    <t>MTF2</t>
  </si>
  <si>
    <t>YDL044C</t>
  </si>
  <si>
    <t>Mitochondrial protein that interacts with mitochondrial RNA polymerase; interacts with an N-terminal region of mitochondrial RNA polymerase (Rpo41p) and couples RNA processing and translation to transcription</t>
  </si>
  <si>
    <t>MTG1</t>
  </si>
  <si>
    <t>YMR097C</t>
  </si>
  <si>
    <t>Putative GTPase peripheral to the mitochondrial inner membrane; essential for respiratory competence, likely functions in assembly of the large ribosomal subunit, has homologs in plants and animals</t>
  </si>
  <si>
    <t>MTG2</t>
  </si>
  <si>
    <t>YHR168W</t>
  </si>
  <si>
    <t>Putative GTPase; member of the Obg family; peripheral protein of the mitochondrial inner membrane that associates with the large ribosomal subunit; required for mitochondrial translation, possibly via a role in ribosome assembly</t>
  </si>
  <si>
    <t>MTM1</t>
  </si>
  <si>
    <t>YGR257C</t>
  </si>
  <si>
    <t>Mitochondrial protein of the mitochondrial carrier family; high affinity pyridoxal 5&amp;#8242;-phosphate transporter; involved in mitochondrial iron homeostasis and in activating mitochondrial Sod2p by facilitating insertion of an essential manganese cofactor</t>
  </si>
  <si>
    <t>PNT1</t>
  </si>
  <si>
    <t>MTO1</t>
  </si>
  <si>
    <t>YGL236C</t>
  </si>
  <si>
    <t>Mitochondrial protein; forms a heterodimer complex with Mss1p that performs the 5-carboxymethylaminomethyl modification of the wobble uridine base in mitochondrial tRNAs; required for respiration in paromomycin-resistant 15S rRNA mutants</t>
  </si>
  <si>
    <t>MXR1</t>
  </si>
  <si>
    <t>YER042W</t>
  </si>
  <si>
    <t>Methionine-S-sulfoxide reductase; involved in the response to oxidative stress; protects iron-sulfur clusters from oxidative inactivation along with MXR2; involved in the regulation of lifespan; reduced activity of human homolog implicated in Alzheimer disease</t>
  </si>
  <si>
    <t>MXR2</t>
  </si>
  <si>
    <t>YCL033C</t>
  </si>
  <si>
    <t>Methionine-R-sulfoxide reductase; involved in the response to oxidative stress; protects iron-sulfur clusters from oxidative inactivation along with MXR1; involved in the regulation of lifespan</t>
  </si>
  <si>
    <t>YCK1</t>
  </si>
  <si>
    <t>MYO3</t>
  </si>
  <si>
    <t>YKL129C</t>
  </si>
  <si>
    <t>One of two type I myosins; localizes to actin cortical patches; deletion of MYO3 has little effect on growth, but myo3 myo5 double deletion causes severe defects in growth and actin cytoskeleton organization; MYO3 has a paralog, MYO5, that arose from the whole genome duplication</t>
  </si>
  <si>
    <t>MYO5</t>
  </si>
  <si>
    <t>YMR109W</t>
  </si>
  <si>
    <t>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t>
  </si>
  <si>
    <t>MZM1</t>
  </si>
  <si>
    <t>YDR493W</t>
  </si>
  <si>
    <t>Protein required for assembly of the cytochrome bc(1) complex; acts as a chaperone for Rip1p and facilitates its insertion into the complex at a late stage of assembly; localized to the mitochondrial matrix; null mutant exhibits a respiratory growth defect and reduced mitochondrial zinc levels, which is characteristic of mutations affecting bc(1) complex assembly; member of the LYR protein family; human LYRM7 is a functional ortholog</t>
  </si>
  <si>
    <t>NAM2</t>
  </si>
  <si>
    <t>YLR382C</t>
  </si>
  <si>
    <t>Mitochondrial leucyl-tRNA synthetase; also has a direct role in splicing of several mitochondrial group I introns; indirectly required for mitochondrial genome maintenance</t>
  </si>
  <si>
    <t>RSM28</t>
  </si>
  <si>
    <t>NAM9</t>
  </si>
  <si>
    <t>YNL137C</t>
  </si>
  <si>
    <t>Mitochondrial ribosomal component of the small subunit</t>
  </si>
  <si>
    <t>YPL199C</t>
  </si>
  <si>
    <t>NAT2</t>
  </si>
  <si>
    <t>YGR147C</t>
  </si>
  <si>
    <t>Protein of unknown function; has an apparent role in acetylation of N-terminal methionine residues</t>
  </si>
  <si>
    <t>NCA2</t>
  </si>
  <si>
    <t>YPR155C</t>
  </si>
  <si>
    <t>Protein that regulates expression of Fo-F1 ATP synthase subunits; involved in the regulation of mitochondrial expression of subunits 6 (Atp6p) and 8 (Atp8p) of the Fo-F1 ATP synthase; functions with Nca3p</t>
  </si>
  <si>
    <t>NCE102</t>
  </si>
  <si>
    <t>YPR149W</t>
  </si>
  <si>
    <t>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t>
  </si>
  <si>
    <t>NCE103</t>
  </si>
  <si>
    <t>YNL036W</t>
  </si>
  <si>
    <t>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</si>
  <si>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NCP1</t>
  </si>
  <si>
    <t>YHR042W</t>
  </si>
  <si>
    <t>NADP-cytochrome P450 reductase; involved in ergosterol biosynthesis; associated and coordinately regulated with Erg11p</t>
  </si>
  <si>
    <t>YBR016W</t>
  </si>
  <si>
    <t>NDE1</t>
  </si>
  <si>
    <t>YMR145C</t>
  </si>
  <si>
    <t>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</si>
  <si>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NDE2</t>
  </si>
  <si>
    <t>YDL085W</t>
  </si>
  <si>
    <t>Mitochondrial external NADH dehydrogenase; catalyzes the oxidation of cytosolic NADH; Nde1p and Nde2p are involved in providing the cytosolic NADH to the mitochondrial respiratory chain; NDE2 has a paralog, NDE1, that arose from the whole genome duplication</t>
  </si>
  <si>
    <t>NDI1</t>
  </si>
  <si>
    <t>YML120C</t>
  </si>
  <si>
    <t>NADH:ubiquinone oxidoreductase; transfers electrons from NADH to ubiquinone in the respiratory chain but does not pump protons, in contrast to the higher eukaryotic multisubunit respiratory complex I; phosphorylated; involved in Mn and H2O2 induced apoptosis; upon apoptotic stress, Ndip is activated in the mitochondria by N-terminal cleavage, and the truncated protein translocates to the cytoplasm to induce apoptosis; homolog of human AMID</t>
  </si>
  <si>
    <t>NFS1</t>
  </si>
  <si>
    <t>YCL017C</t>
  </si>
  <si>
    <t>Cysteine desulfurase; involved in iron-sulfur cluster (Fe/S) biogenesis and in thio-modification of mitochondrial and cytoplasmic tRNAs; essential protein located predominantly in mitochondria</t>
  </si>
  <si>
    <t>YEA6</t>
  </si>
  <si>
    <t>NFU1</t>
  </si>
  <si>
    <t>YKL040C</t>
  </si>
  <si>
    <t>Protein involved in iron metabolism in mitochondria; similar to NifU, which is a protein required for the maturation of the Fe/S clusters of nitrogenase in nitrogen-fixing bacteria</t>
  </si>
  <si>
    <t>NGL1</t>
  </si>
  <si>
    <t>YOL042W</t>
  </si>
  <si>
    <t>Putative endonuclease; has a domain similar to a magnesium-dependent endonuclease motif in mRNA deadenylase Ccr4p; the authentic, non-tagged protein is detected in highly purified mitochondria in high-throughput studies</t>
  </si>
  <si>
    <t>NIF3</t>
  </si>
  <si>
    <t>YGL221C</t>
  </si>
  <si>
    <t>Protein of unknown function; similar to Listeria monocytogenes major sigma factor (rpoD gene product); the authentic, non-tagged protein is detected in highly purified mitochondria in high-throughput studies</t>
  </si>
  <si>
    <t>NIT2</t>
  </si>
  <si>
    <t>YJL126W</t>
  </si>
  <si>
    <t>Nit protein; one of two proteins in S. cerevisiae with similarity to the Nit domain of NitFhit from fly and worm and to the mouse and human Nit protein which interacts with the Fhit tumor suppressor; nitrilase superfamily member</t>
  </si>
  <si>
    <t>NIT3</t>
  </si>
  <si>
    <t>YLR351C</t>
  </si>
  <si>
    <t>NSP1</t>
  </si>
  <si>
    <t>YJL041W</t>
  </si>
  <si>
    <t>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t>
  </si>
  <si>
    <t>SSO2</t>
  </si>
  <si>
    <t>NTA1</t>
  </si>
  <si>
    <t>YJR062C</t>
  </si>
  <si>
    <t>Amidase; removes the amide group from N-terminal asparagine and glutamine residues to generate proteins with N-terminal aspartate and glutamate residues that are targets of ubiquitin-mediated degradation</t>
  </si>
  <si>
    <t>NUC1</t>
  </si>
  <si>
    <t>YJL208C</t>
  </si>
  <si>
    <t>Major mitochondrial nuclease; has RNAse and DNA endo- and exonucleolytic activities; roles in mitochondrial recombination, apoptosis and maintenance of polyploidy; involved in fragmentation of genomic DNA during PND (programmed nuclear destruction); encodes ortholog of mammalian endoG</t>
  </si>
  <si>
    <t>NUM1</t>
  </si>
  <si>
    <t>YDR150W</t>
  </si>
  <si>
    <t>Protein required for nuclear migration; component of the mitochondria-ER-cortex-ancor (MECA); required for the association of mitochondria with the cell cortex and for accurate distribution of mitochondrial network; interacts with Mdm36p to link the ER and motochondria at the cortex; localizes to the mother cell cortex and the bud tip; may mediate interactions of dynein and cytoplasmic microtubules with the cell cortex</t>
  </si>
  <si>
    <t>NUP100</t>
  </si>
  <si>
    <t>YKL068W</t>
  </si>
  <si>
    <t>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t>
  </si>
  <si>
    <t>NUP116</t>
  </si>
  <si>
    <t>YMR047C</t>
  </si>
  <si>
    <t>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t>
  </si>
  <si>
    <t>NUP57</t>
  </si>
  <si>
    <t>YGR119C</t>
  </si>
  <si>
    <t>FG-nucleoporin component of central core of the nuclear pore complex; contributes directly to nucleocytoplasmic transport and maintenance of the nuclear pore complex (NPC) permeability barrier; found in stable complex with Nic96p and two other FG-nucleoproteins (Nsp1p and Nup49p)</t>
  </si>
  <si>
    <t>NVJ2</t>
  </si>
  <si>
    <t>YPR091C</t>
  </si>
  <si>
    <t>Lipid-binding ER protein, enriched at nucleus-vacuolar junctions (NVJ); may be involved in sterol metabolism or signaling at the NVJ; contains a synaptotagmin-like-mitochondrial-lipid binding protein (SMP) domain; binds phosphatidylinositols and other lipids in a large-scale study; may interact with ribosomes, based on co-purification experiments</t>
  </si>
  <si>
    <t>OAC1</t>
  </si>
  <si>
    <t>YKL120W</t>
  </si>
  <si>
    <t>Mitochondrial inner membrane transporter; transports oxaloacetate, sulfate, thiosulfate, and isopropylmalate; member of the mitochondrial carrier family</t>
  </si>
  <si>
    <t>OAR1</t>
  </si>
  <si>
    <t>YKL055C</t>
  </si>
  <si>
    <t>Mitochondrial 3-oxoacyl-[acyl-carrier-protein] reductase; may comprise a type II mitochondrial fatty acid synthase along with Mct1p</t>
  </si>
  <si>
    <t>SHE9</t>
  </si>
  <si>
    <t>OCT1</t>
  </si>
  <si>
    <t>YKL134C</t>
  </si>
  <si>
    <t>Mitochondrial intermediate peptidase; cleaves destabilizing N-terminal residues of a subset of proteins upon import, after their cleavage by mitochondrial processing peptidase (Mas1p-Mas2p); may contribute to mitochondrial iron homeostasis</t>
  </si>
  <si>
    <t>ODC1</t>
  </si>
  <si>
    <t>YPL134C</t>
  </si>
  <si>
    <t>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</si>
  <si>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YJL171C</t>
  </si>
  <si>
    <t>ODC2</t>
  </si>
  <si>
    <t>YOR222W</t>
  </si>
  <si>
    <t>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</si>
  <si>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OLA1</t>
  </si>
  <si>
    <t>YBR025C</t>
  </si>
  <si>
    <t>P-loop ATPase with similarity to human OLA1 and bacterial YchF; identified as specifically interacting with the proteasome; null mutant displays increased translation rate and increased readthrough of premature stop codons; protein abundance increases in response to hydrogen peroxide and to DNA replication stress</t>
  </si>
  <si>
    <t>OLI1</t>
  </si>
  <si>
    <t>Q0130</t>
  </si>
  <si>
    <t>F0-ATP synthase subunit c (ATPase-associated proteolipid); encoded on the mitochondrial genome; mutation confers oligomycin resistance; expression is specifically dependent on the nuclear genes AEP1 and AEP2</t>
  </si>
  <si>
    <t>OM14</t>
  </si>
  <si>
    <t>YBR230C</t>
  </si>
  <si>
    <t>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t>
  </si>
  <si>
    <t>OM45</t>
  </si>
  <si>
    <t>YIL136W</t>
  </si>
  <si>
    <t>Mitochondrial outer membrane protein of unknown function; major constituent of the outer membrane, located on the outer (cytosolic) face; interacts with porin (Por1p) and with Om14p; imported via the presequence pathway involving the TOM and TIM23 complexes, then assembled in the outer membrane by Mim1p; protein abundance increases in response to DNA replication stress</t>
  </si>
  <si>
    <t>YKR087C</t>
  </si>
  <si>
    <t>Metalloendopeptidase of the mitochondrial inner membrane; important for adaptive responses to various homeostatic insults and preservation of normal mitochondrial function under damage-eliciting conditions; involved in turnover of membrane-embedded proteins; mediates degradation of Cox1p in coa2 mutant cells; member of a family of predicted membrane-bound metallopeptidases in prokaryotes and higher eukaryotes</t>
  </si>
  <si>
    <t>YDR316W</t>
  </si>
  <si>
    <t>Protein integral to the mitochondrial membrane; has a conserved methyltransferase motif and is predicted to be an RNA methyltransferase; multicopy suppressor of respiratory defects caused by OXA1 mutations</t>
  </si>
  <si>
    <t>YOR130C</t>
  </si>
  <si>
    <t>Ornithine transporter of the mitochondrial inner membrane; exports ornithine from mitochondria as part of arginine biosynthesis; human ortholog is associated with hyperammonaemia-hyperornithinaemia-homocitrullinuria (HHH) syndrome</t>
  </si>
  <si>
    <t>OSH2</t>
  </si>
  <si>
    <t>YDL019C</t>
  </si>
  <si>
    <t>Member of an oxysterol-binding protein family with seven members; in S. cerevisiae, family members have overlapping, redundant functions in sterol metabolism and collectively perform a function essential for viability; OSH2 has a paralog, SWH1, that arose from the whole genome duplication</t>
  </si>
  <si>
    <t>OSM1</t>
  </si>
  <si>
    <t>YJR051W</t>
  </si>
  <si>
    <t>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t>
  </si>
  <si>
    <t>OST2</t>
  </si>
  <si>
    <t>YOR103C</t>
  </si>
  <si>
    <t>Epsilon subunit of the oligosaccharyltransferase complex; located in the ER lumen; catalyzes asparagine-linked glycosylation of newly synthesized proteins</t>
  </si>
  <si>
    <t>YDR282C</t>
  </si>
  <si>
    <t>OXA1</t>
  </si>
  <si>
    <t>YER154W</t>
  </si>
  <si>
    <t>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t>
  </si>
  <si>
    <t>PAM16</t>
  </si>
  <si>
    <t>YJL104W</t>
  </si>
  <si>
    <t>Subunit of the import motor (PAM complex); the PAM complex is a  component of the Translocase of the Inner Mitochondrial membrane (TIM23 complex); forms a 1:1 subcomplex with Pam18p and inhibits its cochaperone activity; contains a J-like domain</t>
  </si>
  <si>
    <t>SCO2</t>
  </si>
  <si>
    <t>PAM17</t>
  </si>
  <si>
    <t>YKR065C</t>
  </si>
  <si>
    <t>Constituent of the TIM23 complex; proposed alternatively to be a component of the import motor (PAM complex) or to interact with and modulate the core TIM23 (Translocase of the Inner mitochondrial Membrane) complex; protein abundance increases in response to DNA replication stress</t>
  </si>
  <si>
    <t>PAM18</t>
  </si>
  <si>
    <t>YLR008C</t>
  </si>
  <si>
    <t>Subunit of the import motor (PAM complex); the PAM complex is a  component of the Translocase of the Inner Mitochondrial membrane (TIM23 complex); essential J-protein cochaperone that stimulates Ssc1p ATPase activity to drive import; inhibited by Pam16p</t>
  </si>
  <si>
    <t>PAN1</t>
  </si>
  <si>
    <t>YIR006C</t>
  </si>
  <si>
    <t>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t>
  </si>
  <si>
    <t>PAN5</t>
  </si>
  <si>
    <t>YHR063C</t>
  </si>
  <si>
    <t>2-dehydropantoate 2-reductase; part of the pantothenic acid pathway, structurally homologous to E. coli panE</t>
  </si>
  <si>
    <t>PHM7</t>
  </si>
  <si>
    <t>PAR32</t>
  </si>
  <si>
    <t>YDL173W</t>
  </si>
  <si>
    <t>Putative protein of unknown function; hyperphosphorylated upon rapamycin treatment in a Tap42p-dependent manner; green fluorescent protein (GFP)-fusion protein localizes to the cytoplasm; PAR32 is not an essential gene</t>
  </si>
  <si>
    <t>YDL218W</t>
  </si>
  <si>
    <t>PBI2</t>
  </si>
  <si>
    <t>YNL015W</t>
  </si>
  <si>
    <t>Cytosolic inhibitor of vacuolar proteinase B (PRB1); required for efficient vacuole inheritance; with thioredoxin forms protein complex LMA1, which assists in priming SNARE molecules and promotes vacuole fusion; protein abundance increases in response to DNA replication stress</t>
  </si>
  <si>
    <t>PBP1</t>
  </si>
  <si>
    <t>YGR178C</t>
  </si>
  <si>
    <t>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t>
  </si>
  <si>
    <t>PBP4</t>
  </si>
  <si>
    <t>YDL053C</t>
  </si>
  <si>
    <t>Pbp1p binding protein; interacts strongly with Pab1p-binding protein 1 (Pbp1p) in the yeast two-hybrid system; also interacts with Lsm12p in a copurification assay; relative distribution to the nucleus increases upon DNA replication stress</t>
  </si>
  <si>
    <t>PCD1</t>
  </si>
  <si>
    <t>YLR151C</t>
  </si>
  <si>
    <t>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</si>
  <si>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PCP1</t>
  </si>
  <si>
    <t>YGR101W</t>
  </si>
  <si>
    <t>Mitochondrial serine protease; required for the processing of various mitochondrial proteins and maintenance of mitochondrial DNA and morphology; belongs to the rhomboid-GlpG superfamily of intramembrane peptidases</t>
  </si>
  <si>
    <t>PCS60</t>
  </si>
  <si>
    <t>YBR222C</t>
  </si>
  <si>
    <t>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</si>
  <si>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PDA1</t>
  </si>
  <si>
    <t>YER178W</t>
  </si>
  <si>
    <t>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</si>
  <si>
    <t>TPO3</t>
  </si>
  <si>
    <t>PDB1</t>
  </si>
  <si>
    <t>YBR221C</t>
  </si>
  <si>
    <t>E1 beta subunit of the pyruvate dehydrogenase (PDH) complex; PDH is an evolutionarily conserved multi-protein complex found in mitochondria</t>
  </si>
  <si>
    <t>PDH1</t>
  </si>
  <si>
    <t>YPR002W</t>
  </si>
  <si>
    <t>Putative 2-methylcitrate dehydratase; mitochondrial protein that participates in respiration; induced by diauxic shift; homologous to E. coli PrpD, may take part in the conversion of 2-methylcitrate to 2-methylisocitrate</t>
  </si>
  <si>
    <t>PDI1</t>
  </si>
  <si>
    <t>YCL043C</t>
  </si>
  <si>
    <t>Protein disulfide isomerase; multifunctional protein of ER lumen, essential for formation of disulfide bonds in secretory and cell-surface proteins, unscrambles non-native disulfide bonds; key regulator of Ero1p; forms complex with Mnl1p that has exomannosidase activity, processing unfolded protein-bound Man8GlcNAc2 oligosaccharides to Man7GlcNAc2, promoting degradation in unfolded protein response; PDI1 has a paralog, EUG1, that arose from the whole genome duplication</t>
  </si>
  <si>
    <t>PDX1</t>
  </si>
  <si>
    <t>YGR193C</t>
  </si>
  <si>
    <t>E3-binding protein of the mitochondrial pyruvate dehydrogenase complex; plays a structural role in the complex by binding and positioning dihydrolipoamide dehydrogenase (E3) to the dihydrolipoamide acetyltransferase (E2) core</t>
  </si>
  <si>
    <t>PDX3</t>
  </si>
  <si>
    <t>YBR035C</t>
  </si>
  <si>
    <t>Pyridoxine (pyridoxamine) phosphate oxidase; has homologs in E. coli and Myxococcus xanthus; transcription is under the general control of nitrogen metabolism</t>
  </si>
  <si>
    <t>YMC2</t>
  </si>
  <si>
    <t>PEP4</t>
  </si>
  <si>
    <t>YPL154C</t>
  </si>
  <si>
    <t>Vacuolar aspartyl protease (proteinase A); required for posttranslational precursor maturation of vacuolar proteinases; important for protein turnover after oxidative damage; plays a protective role in acetic acid induced apoptosis; synthesized as a zymogen, self-activates</t>
  </si>
  <si>
    <t>SSO1</t>
  </si>
  <si>
    <t>PET10</t>
  </si>
  <si>
    <t>YKR046C</t>
  </si>
  <si>
    <t>Protein of unknown function that localizes to lipid particles; localization suggests a role in lipid metabolism; expression pattern suggests a role in respiratory growth; computational analysis of large-scale protein-protein interaction data suggests a role in ATP/ADP exchange</t>
  </si>
  <si>
    <t>SPO14</t>
  </si>
  <si>
    <t>PET100</t>
  </si>
  <si>
    <t>YDR079W</t>
  </si>
  <si>
    <t>Chaperone that facilitates the assembly of cytochrome c oxidase; integral to the mitochondrial inner membrane; interacts with a subcomplex of subunits VII, VIIa, and VIII (Cox7p, Cox9p, and Cox8p) but not with the holoenzyme</t>
  </si>
  <si>
    <t>TCB3</t>
  </si>
  <si>
    <t>PET111</t>
  </si>
  <si>
    <t>YMR257C</t>
  </si>
  <si>
    <t>Mitochondrial translational activator specific for the COX2 mRNA; located in the mitochondrial inner membrane</t>
  </si>
  <si>
    <t>PET112</t>
  </si>
  <si>
    <t>YBL080C</t>
  </si>
  <si>
    <t>Subunit of the trimeric GatFAB AmidoTransferase(AdT) complex; involved in the formation of Q-tRNAQ; mutation is functionally complemented by the bacterial GatB ortholog</t>
  </si>
  <si>
    <t>PET117</t>
  </si>
  <si>
    <t>YER058W</t>
  </si>
  <si>
    <t>Protein required for assembly of cytochrome c oxidase</t>
  </si>
  <si>
    <t>PET122</t>
  </si>
  <si>
    <t>YER153C</t>
  </si>
  <si>
    <t>Mitochondrial translational activator specific for the COX3 mRNA; acts together with Pet54p and Pet494p; located in the mitochondrial inner membrane</t>
  </si>
  <si>
    <t>PET123</t>
  </si>
  <si>
    <t>YOR158W</t>
  </si>
  <si>
    <t>Mitochondrial ribosomal protein of the small subunit; PET123 exhibits genetic interactions with PET122, which encodes a COX3 mRNA-specific translational activator</t>
  </si>
  <si>
    <t>PET127</t>
  </si>
  <si>
    <t>YOR017W</t>
  </si>
  <si>
    <t>Protein with a role in 5'-end processing of mitochondrial RNAs; located in the mitochondrial membrane</t>
  </si>
  <si>
    <t>PET130</t>
  </si>
  <si>
    <t>YJL023C</t>
  </si>
  <si>
    <t>Protein required for respiratory growth; the authentic, non-tagged protein is detected in highly purified mitochondria in high-throughput studies</t>
  </si>
  <si>
    <t>PET191</t>
  </si>
  <si>
    <t>YJR034W</t>
  </si>
  <si>
    <t>Protein required for assembly of cytochrome c oxidase; exists as an oligomer; described as both an integral mitochondrial inner membrane protein facing the intermembrane space (IMS) and as a soluble IMS protein; contains a twin Cx9C motif; imported into the IMS via the MIA import machinery</t>
  </si>
  <si>
    <t>PNS1</t>
  </si>
  <si>
    <t>PET20</t>
  </si>
  <si>
    <t>YPL159C</t>
  </si>
  <si>
    <t>Mitochondrial protein; required for respiratory growth under some conditions and for stability of the mitochondrial genome</t>
  </si>
  <si>
    <t>PET309</t>
  </si>
  <si>
    <t>YLR067C</t>
  </si>
  <si>
    <t>Specific translational activator for the COX1 mRNA; binds to the COX1 mRNA; also influences stability of intron-containing COX1 primary transcripts; localizes to the mitochondrial inner membrane; contains 12 pentatricopeptide repeats (PPRs)</t>
  </si>
  <si>
    <t>PET494</t>
  </si>
  <si>
    <t>YNR045W</t>
  </si>
  <si>
    <t>Mitochondrial translational activator specific for the COX3 mRNA; acts together with Pet54p and Pet122p; located in the mitochondrial inner membrane</t>
  </si>
  <si>
    <t>PET54</t>
  </si>
  <si>
    <t>YGR222W</t>
  </si>
  <si>
    <t>Mitochondrial inner membrane protein; binds to the 5' UTR of the COX3 mRNA to activate its translation together with Pet122p and Pet494p; also binds to the COX1 Group I intron AI5 beta to facilitate exon ligation during splicing</t>
  </si>
  <si>
    <t>YNL003C</t>
  </si>
  <si>
    <t>S-adenosylmethionine transporter of the mitochondrial inner membrane; member of the mitochondrial carrier family; required for biotin biosynthesis and respiratory growth</t>
  </si>
  <si>
    <t>PEX14</t>
  </si>
  <si>
    <t>YGL153W</t>
  </si>
  <si>
    <t>Central component of the peroxisomal importomer complex; peroxisomal protein import machinery docking complex component; interacts with both PTS1 (Pex5p) and PTS2 (Pex7p), peroxisomal matrix protein signal recognition factors and membrane receptor Pex13p</t>
  </si>
  <si>
    <t>PEX19</t>
  </si>
  <si>
    <t>YDL065C</t>
  </si>
  <si>
    <t>Chaperone and import receptor for newly-synthesized class I PMPs; binds peroxisomal membrane proteins (PMPs) in the cytoplasm and delivers them to the peroxisome for subsequent insertion into the peroxisomal membrane; interacts with Myo2p and contributes to peroxisome partitioning</t>
  </si>
  <si>
    <t>PEX30</t>
  </si>
  <si>
    <t>YLR324W</t>
  </si>
  <si>
    <t>Peroxisomal integral membrane protein; involved in negative regulation of peroxisome number; partially functionally redundant with Pex31p; genetic interactions suggest action at a step downstream of steps mediated by Pex28p and Pex29p; PEX30 has a paralog, PEX31, that arose from the whole genome duplication</t>
  </si>
  <si>
    <t>PFK1</t>
  </si>
  <si>
    <t>YGR240C</t>
  </si>
  <si>
    <t>Alpha subunit of heterooctameric phosphofructokinase; involved in glycolysis, indispensable for anaerobic growth, activated by fructose-2,6-bisphosphate and AMP, mutation inhibits glucose induction of cell cycle-related genes</t>
  </si>
  <si>
    <t>YBL059W</t>
  </si>
  <si>
    <t>PGI1</t>
  </si>
  <si>
    <t>YBR196C</t>
  </si>
  <si>
    <t>Glycolytic enzyme phosphoglucose isomerase; catalyzes the interconversion of glucose-6-phosphate and fructose-6-phosphate; required for cell cycle progression and completion of the gluconeogenic events of sporulation</t>
  </si>
  <si>
    <t>PGK1</t>
  </si>
  <si>
    <t>YCR012W</t>
  </si>
  <si>
    <t>3-phosphoglycerate kinase; catalyzes transfer of high-energy phosphoryl groups from the acyl phosphate of 1,3-bisphosphoglycerate to ADP to produce ATP; key enzyme in glycolysis and gluconeogenesis</t>
  </si>
  <si>
    <t>PGS1</t>
  </si>
  <si>
    <t>YCL004W</t>
  </si>
  <si>
    <t>Phosphatidylglycerolphosphate synthase; catalyzes the synthesis of phosphatidylglycerolphosphate from CDP-diacylglycerol and sn-glycerol 3-phosphate in the first committed and rate-limiting step of cardiolipin biosynthesis</t>
  </si>
  <si>
    <t>PHB1</t>
  </si>
  <si>
    <t>YGR132C</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</si>
  <si>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</si>
  <si>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PHB2</t>
  </si>
  <si>
    <t>YGR231C</t>
  </si>
  <si>
    <t>YOL084W</t>
  </si>
  <si>
    <t>Protein of unknown function; expression is regulated by phosphate levels; green fluorescent protein (GFP)-fusion protein localizes to the cell periphery and vacuole; protein abundance increases in response to DNA replication stress</t>
  </si>
  <si>
    <t>PHO88</t>
  </si>
  <si>
    <t>YBR106W</t>
  </si>
  <si>
    <t>Probable membrane protein; involved in phosphate transport; role in the maturation of secretory proteins; pho88 pho86 double null mutant exhibits enhanced synthesis of repressible acid phosphatase at high inorganic phosphate concentrations</t>
  </si>
  <si>
    <t>PIC2</t>
  </si>
  <si>
    <t>YER053C</t>
  </si>
  <si>
    <t>Mitochondrial copper and phosphate carrier; imports copper and inorganic phosphate into mitochondria; functionally redundant with Mir1p but less abundant than Mir1p under normal conditions; expression is induced at high temperature</t>
  </si>
  <si>
    <t>PIL1</t>
  </si>
  <si>
    <t>YGR086C</t>
  </si>
  <si>
    <t>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t>
  </si>
  <si>
    <t>PIM1</t>
  </si>
  <si>
    <t>YBL022C</t>
  </si>
  <si>
    <t>ATP-dependent Lon protease; involved in degradation of misfolded proteins in mitochondria; required for biogenesis and maintenance of mitochondria</t>
  </si>
  <si>
    <t>PKP1</t>
  </si>
  <si>
    <t>YIL042C</t>
  </si>
  <si>
    <t>Mitochondrial protein kinase; involved in negative regulation of pyruvate dehydrogenase complex activity by phosphorylating the ser-133 residue of the Pda1p subunit; acts in concert with kinase Pkp2p and phosphatases Ptc5p and Ptc6p</t>
  </si>
  <si>
    <t>PKP2</t>
  </si>
  <si>
    <t>YGL059W</t>
  </si>
  <si>
    <t>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t>
  </si>
  <si>
    <t>PLB1</t>
  </si>
  <si>
    <t>YMR008C</t>
  </si>
  <si>
    <t>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</si>
  <si>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PMT1</t>
  </si>
  <si>
    <t>YDL095W</t>
  </si>
  <si>
    <t>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t>
  </si>
  <si>
    <t>PMT2</t>
  </si>
  <si>
    <t>YAL023C</t>
  </si>
  <si>
    <t>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t>
  </si>
  <si>
    <t>YOR161C</t>
  </si>
  <si>
    <t>Protein of unknown function; has similarity to Torpedo californica tCTL1p, which is postulated to be a choline transporter, neither null mutation nor overexpression affects choline transport</t>
  </si>
  <si>
    <t>YPR011C</t>
  </si>
  <si>
    <t>YOR266W</t>
  </si>
  <si>
    <t>Mitochondrial integral inner membrane protein; involved in membrane insertion of C-terminus of Cox2p, interacts genetically and physically with Cox18p; deletion mutant sensitive to the anti-Pneumocystis carinii drug pentamidine</t>
  </si>
  <si>
    <t>POM152</t>
  </si>
  <si>
    <t>YMR129W</t>
  </si>
  <si>
    <t>Glycoprotein subunit of transmembrane ring of nuclear pore complex; contributes to nucleocytoplasmic transport, nuclear pore complex (NPC) biogenesis and spindle pole body duplication; homologous to human NUP210</t>
  </si>
  <si>
    <t>POR1</t>
  </si>
  <si>
    <t>YNL055C</t>
  </si>
  <si>
    <t>Mitochondrial porin (voltage-dependent anion channel); outer membrane protein required for maintenance of mitochondrial osmotic stability and mitochondrial membrane permeability; couples the glutathione pools of the intermembrane space (IMS) and the cytosol; interacts with Om45 and Om14 in the outer membrane; phosphorylated; protein abundance increases in response to DNA replication stress</t>
  </si>
  <si>
    <t>POR2</t>
  </si>
  <si>
    <t>YIL114C</t>
  </si>
  <si>
    <t>Putative mitochondrial porin (voltage-dependent anion channel); not required for mitochondrial membrane permeability or mitochondrial osmotic stability; POR2 has a paralog, POR1, that arose from the whole genome duplication</t>
  </si>
  <si>
    <t>POS5</t>
  </si>
  <si>
    <t>YPL188W</t>
  </si>
  <si>
    <t>Mitochondrial NADH kinase; phosphorylates NADH; also phosphorylates NAD(+) with lower specificity; required for the response to oxidative stress</t>
  </si>
  <si>
    <t>POT1</t>
  </si>
  <si>
    <t>YIL160C</t>
  </si>
  <si>
    <t>3-ketoacyl-CoA thiolase with broad chain length specificity; cleaves 3-ketoacyl-CoA into acyl-CoA and acetyl-CoA during beta-oxidation of fatty acids</t>
  </si>
  <si>
    <t>PPA2</t>
  </si>
  <si>
    <t>YMR267W</t>
  </si>
  <si>
    <t>Mitochondrial inorganic pyrophosphatase; required for mitochondrial function and possibly involved in energy generation from inorganic pyrophosphate</t>
  </si>
  <si>
    <t>PRD1</t>
  </si>
  <si>
    <t>YCL057W</t>
  </si>
  <si>
    <t>Zinc metalloendopeptidase; found in the cytoplasm and intermembrane space of mitochondria; with Cym1p, involved in degradation of mitochondrial proteins and of presequence peptides cleaved from imported proteins; protein abundance increases in response to DNA replication stress</t>
  </si>
  <si>
    <t>PRX1</t>
  </si>
  <si>
    <t>YBL064C</t>
  </si>
  <si>
    <t>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</si>
  <si>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PSA1</t>
  </si>
  <si>
    <t>YDL055C</t>
  </si>
  <si>
    <t>GDP-mannose pyrophosphorylase (mannose-1-phosphate guanyltransferase); synthesizes GDP-mannose from GTP and mannose-1-phosphate in cell wall biosynthesis; required for normal cell wall structure</t>
  </si>
  <si>
    <t>PSD1</t>
  </si>
  <si>
    <t>YNL169C</t>
  </si>
  <si>
    <t>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t>
  </si>
  <si>
    <t>PST2</t>
  </si>
  <si>
    <t>YDR032C</t>
  </si>
  <si>
    <t>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t>
  </si>
  <si>
    <t>PTC5</t>
  </si>
  <si>
    <t>YOR090C</t>
  </si>
  <si>
    <t>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t>
  </si>
  <si>
    <t>PTC6</t>
  </si>
  <si>
    <t>YCR079W</t>
  </si>
  <si>
    <t>Mitochondrial type 2C protein phosphatase (PP2C); has similarity to mammalian PP1Ks; involved in mitophagy; null mutant is sensitive to rapamycin and has decreased phosphorylation of the Pda1 subunit of pyruvate dehydrogenase</t>
  </si>
  <si>
    <t>PTC7</t>
  </si>
  <si>
    <t>YHR076W</t>
  </si>
  <si>
    <t>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t>
  </si>
  <si>
    <t>PTH1</t>
  </si>
  <si>
    <t>YHR189W</t>
  </si>
  <si>
    <t>One of two mitochondrially-localized peptidyl-tRNA hydrolases; dispensable for respiratory growth on rich medium, but required for respiratory growth on minimal medium; see also PTH2</t>
  </si>
  <si>
    <t>TOM22</t>
  </si>
  <si>
    <t>PTH2</t>
  </si>
  <si>
    <t>YBL057C</t>
  </si>
  <si>
    <t>One of two mitochondrially-localized peptidyl-tRNA hydrolases; negatively regulates the ubiquitin-proteasome pathway via interactions with ubiquitin-like ubiquitin-associated proteins; dispensable for cell growth; see also PTH1</t>
  </si>
  <si>
    <t>PUS2</t>
  </si>
  <si>
    <t>YGL063W</t>
  </si>
  <si>
    <t>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</si>
  <si>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PUS4</t>
  </si>
  <si>
    <t>YNL292W</t>
  </si>
  <si>
    <t>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t>
  </si>
  <si>
    <t>YCK2</t>
  </si>
  <si>
    <t>PUS6</t>
  </si>
  <si>
    <t>YGR169C</t>
  </si>
  <si>
    <t>tRNA:pseudouridine synthase; catalyzes the conversion of uridine to pseudouridine at position 31 in cytoplasmic and mitochondrial tRNAs; mutation of Asp168 to Ala abolishes enzyme activity; not essential for viability</t>
  </si>
  <si>
    <t>TAT1</t>
  </si>
  <si>
    <t>PUS9</t>
  </si>
  <si>
    <t>YDL036C</t>
  </si>
  <si>
    <t>Mitochondrial tRNA:pseudouridine synthase; catalyzes the formation of pseudouridine at position 32 in mitochondrial tRNAs; contains an N-terminal mitochondrial targeting sequence; PUS9 has a paralog, RIB2, that arose from the whole genome duplication</t>
  </si>
  <si>
    <t>RHO3</t>
  </si>
  <si>
    <t>PUT2</t>
  </si>
  <si>
    <t>YHR037W</t>
  </si>
  <si>
    <t>Delta-1-pyrroline-5-carboxylate dehydrogenase; nuclear-encoded mitochondrial protein involved in utilization of proline as sole nitrogen source; deficiency of the human homolog ALDH4A1 causes type II hyperprolinemia (HPII), an autosomal recessive inborn error of metabolism</t>
  </si>
  <si>
    <t>QCR10</t>
  </si>
  <si>
    <t>YHR001W-A</t>
  </si>
  <si>
    <t>Subunit of the ubiqunol-cytochrome c oxidoreductase complex; this complex comprises part of the mitochondrial respiratory chain; members include Cobp, Rip1p, Cyt1p, Cor1p, Qcr2p, Qcr6p, Qcr7p, Qcr8p, Qcr9p, and Qcr10p and comprises part of the mitochondrial respiratory chain</t>
  </si>
  <si>
    <t>QCR2</t>
  </si>
  <si>
    <t>YPR191W</t>
  </si>
  <si>
    <t>Subunit 2 of ubiquinol cytochrome-c reductase (Complex III); Complex III is a component of the mitochondrial inner membrane electron transport chain; phosphorylated; transcription is regulated by Hap1p, Hap2p/Hap3p, and heme</t>
  </si>
  <si>
    <t>QCR6</t>
  </si>
  <si>
    <t>YFR033C</t>
  </si>
  <si>
    <t>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</si>
  <si>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QCR7</t>
  </si>
  <si>
    <t>YDR529C</t>
  </si>
  <si>
    <t>Subunit 7 of ubiquinol cytochrome-c reductase (Complex III); Complex III is a component of the mitochondrial inner membrane electron transport chain; oriented facing the mitochondrial matrix; N-terminus appears to play a role in complex assembly</t>
  </si>
  <si>
    <t>YJL166W</t>
  </si>
  <si>
    <t>Subunit 8 of ubiquinol cytochrome-c reductase (Complex III); Complex III is a component of the mitochondrial inner membrane electron transport chain; oriented facing the intermembrane space; expression is regulated by Abf1p and Cpf1p</t>
  </si>
  <si>
    <t>QCR9</t>
  </si>
  <si>
    <t>YGR183C</t>
  </si>
  <si>
    <t>Subunit 9 of ubiquinol cytochrome-c reductase (Complex III); Complex III is a component of the mitochondrial inner membrane electron transport chain; required for electron transfer at the ubiquinol oxidase site of the complex</t>
  </si>
  <si>
    <t>QRI7</t>
  </si>
  <si>
    <t>YDL104C</t>
  </si>
  <si>
    <t>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t>
  </si>
  <si>
    <t>RAD27</t>
  </si>
  <si>
    <t>YKL113C</t>
  </si>
  <si>
    <t>5' to 3' exonuclease, 5' flap endonuclease; required for Okazaki fragment processing and maturation, for long-patch base-excision repair and large loop repair (LLR), ribonucleotide excision repair; member of the S. pombe RAD2/FEN1 family; relocalizes to the cytosol in response to hypoxia</t>
  </si>
  <si>
    <t>RAS1</t>
  </si>
  <si>
    <t>YOR101W</t>
  </si>
  <si>
    <t>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t>
  </si>
  <si>
    <t>RAS2</t>
  </si>
  <si>
    <t>YNL098C</t>
  </si>
  <si>
    <t>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t>
  </si>
  <si>
    <t>YOR301W</t>
  </si>
  <si>
    <t>Protein involved in bud site selection during bipolar budding; localization requires Rax2p; has similarity to members of the insulin-related peptide superfamily</t>
  </si>
  <si>
    <t>RAX2</t>
  </si>
  <si>
    <t>YLR084C</t>
  </si>
  <si>
    <t>N-glycosylated protein; involved in the maintenance of bud site selection during bipolar budding; localization requires Rax1p; RAX2 mRNA stability is regulated by Mpt5p</t>
  </si>
  <si>
    <t>RCF1</t>
  </si>
  <si>
    <t>YML030W</t>
  </si>
  <si>
    <t>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t>
  </si>
  <si>
    <t>RCF2</t>
  </si>
  <si>
    <t>YNR018W</t>
  </si>
  <si>
    <t>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t>
  </si>
  <si>
    <t>YBR005W</t>
  </si>
  <si>
    <t>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t>
  </si>
  <si>
    <t>RDI1</t>
  </si>
  <si>
    <t>YDL135C</t>
  </si>
  <si>
    <t>Rho GDP dissociation inhibitor; involved in the localization and regulation of Cdc42p and Rho1p; protein abundance increases in response to DNA replication stress</t>
  </si>
  <si>
    <t>TCD2</t>
  </si>
  <si>
    <t>RDL1</t>
  </si>
  <si>
    <t>YOR285W</t>
  </si>
  <si>
    <t>Thiosulfate sulfurtransferase; contains a rhodanese-like domain; localized to the mitochondrial outer membrane; protein abundance increases in response to DNA replication stress; similar to the human TSTD gene</t>
  </si>
  <si>
    <t>RDL2</t>
  </si>
  <si>
    <t>YOR286W</t>
  </si>
  <si>
    <t>Protein with rhodanese activity; contains a rhodanese-like domain similar to Rdl1p, Uba4p, Tum1p, and Ych1p; overexpression causes a cell cycle delay; null mutant displays elevated frequency of mitochondrial genome loss</t>
  </si>
  <si>
    <t>REX2</t>
  </si>
  <si>
    <t>YLR059C</t>
  </si>
  <si>
    <t>3'-5' RNA exonuclease; involved in 3'-end processing of U4 and U5 snRNAs, 5S and 5.8S rRNAs, and RNase P and RNase MRP RNA; localized to mitochondria and null suppresses escape of mtDNA to nucleus in yme1 yme2 mutants; RNase D exonuclease</t>
  </si>
  <si>
    <t>RFS1</t>
  </si>
  <si>
    <t>YBR052C</t>
  </si>
  <si>
    <t>Protein of unknown function; member of a flavodoxin-like fold protein family that includes Pst2p and Ycp4p; green fluorescent protein (GFP)-fusion protein localizes to the cytoplasm in a punctate pattern; RFS1 has a paralog, PST2, that arose from the whole genome duplication</t>
  </si>
  <si>
    <t>RGI2</t>
  </si>
  <si>
    <t>YIL057C</t>
  </si>
  <si>
    <t>Protein of unknown function; involved in energy metabolism under respiratory conditions; expression induced under carbon limitation and repressed under high glucose; RGI2 has a paralog, RGI1, that arose from the whole genome duplication</t>
  </si>
  <si>
    <t>SDH4</t>
  </si>
  <si>
    <t>RHO1</t>
  </si>
  <si>
    <t>YPR165W</t>
  </si>
  <si>
    <t>GTP-binding protein of the rho subfamily of Ras-like proteins; involved in establishment of cell polarity; regulates protein kinase C (Pkc1p) and the cell wall synthesizing enzyme 1,3-beta-glucan synthase (Fks1p and Gsc2p)</t>
  </si>
  <si>
    <t>RHO2</t>
  </si>
  <si>
    <t>YNL090W</t>
  </si>
  <si>
    <t>Non-essential small GTPase of the Rho/Rac family of Ras-like proteins; involved in the establishment of cell polarity and in microtubule assembly</t>
  </si>
  <si>
    <t>YIL118W</t>
  </si>
  <si>
    <t>Non-essential small GTPase of the Rho/Rac family of Ras-like proteins; involved in the establishment of cell polarity; GTPase activity positively regulated by the GTPase activating protein (GAP) Rgd1p</t>
  </si>
  <si>
    <t>RHO5</t>
  </si>
  <si>
    <t>YNL180C</t>
  </si>
  <si>
    <t>Non-essential small GTPase of the Rho/Rac family of Ras-like proteins; regulated by phosphorylation and ubiquitination; likely involved in protein kinase C (Pkc1p)-dependent signal transduction pathway that controls cell integrity</t>
  </si>
  <si>
    <t>RIB3</t>
  </si>
  <si>
    <t>YDR487C</t>
  </si>
  <si>
    <t>3,4-dihydroxy-2-butanone-4-phosphate synthase (DHBP synthase); required for riboflavin biosynthesis from ribulose-5-phosphate, also has an unrelated function in mitochondrial respiration</t>
  </si>
  <si>
    <t>RIB4</t>
  </si>
  <si>
    <t>YOL143C</t>
  </si>
  <si>
    <t>Lumazine synthase (DMRL synthase); catalyzes synthesis of immediate precursor to riboflavin; DMRL synthase stands for 6,7-dimethyl-8-ribityllumazine synthase</t>
  </si>
  <si>
    <t>RIM1</t>
  </si>
  <si>
    <t>YCR028C-A</t>
  </si>
  <si>
    <t>ssDNA-binding protein essential for mitochondrial genome maintenance; involved in mitochondrial DNA replication</t>
  </si>
  <si>
    <t>YBR192W</t>
  </si>
  <si>
    <t>Mitochondrial pyrimidine nucleotide transporter; imports pyrimidine nucleoside triphosphates and exports pyrimidine nucleoside monophosphates; member of the mitochondrial carrier family</t>
  </si>
  <si>
    <t>RIP1</t>
  </si>
  <si>
    <t>YEL024W</t>
  </si>
  <si>
    <t>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</si>
  <si>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RMD9</t>
  </si>
  <si>
    <t>YGL107C</t>
  </si>
  <si>
    <t>Mitochondrial protein required for respiratory growth; mutant phenotype and genetic interactions suggest a role in delivering mt mRNAs to ribosomes; located on matrix face of the inner membrane and loosely associated with mitoribosomes; RMD9 has a paralog, YBR238C, that arose from the whole genome duplication</t>
  </si>
  <si>
    <t>RML2</t>
  </si>
  <si>
    <t>YEL050C</t>
  </si>
  <si>
    <t>Mitochondrial ribosomal protein of the large subunit (L2); has similarity to E. coli L2 ribosomal protein; mutant allele (fat21) causes inability to utilize oleate, and induce oleic acid oxidation; may interfere with activity of the Adr1p transcription factor</t>
  </si>
  <si>
    <t>RPL10</t>
  </si>
  <si>
    <t>YLR075W</t>
  </si>
  <si>
    <t>Ribosomal 60S subunit protein L10; responsible for joining the 40S and 60S subunits; regulates translation initiation; similar to members of the QM gene family; homologous to mammalian ribosomal protein L10 and bacterial L16; protein abundance increases in response to DNA replication stress; mutations in the human ortholog are associated with development of T-cell acute lymphoblastic leukemia and similar changes in the yeast gene result in ribosome biogenesis defects</t>
  </si>
  <si>
    <t>UBX2</t>
  </si>
  <si>
    <t>YPL109C</t>
  </si>
  <si>
    <t>RPL25</t>
  </si>
  <si>
    <t>YOL127W</t>
  </si>
  <si>
    <t>Ribosomal 60S subunit protein L25; primary rRNA-binding ribosomal protein component of large ribosomal subunit; binds to 25S rRNA via a conserved C-terminal motif; homologous to mammalian ribosomal protein L23A and bacterial L23</t>
  </si>
  <si>
    <t>RPL38</t>
  </si>
  <si>
    <t>YLR325C</t>
  </si>
  <si>
    <t>Ribosomal 60S subunit protein L38; homologous to mammalian ribosomal protein L38, no bacterial homolog</t>
  </si>
  <si>
    <t>YHM2</t>
  </si>
  <si>
    <t>RPM2</t>
  </si>
  <si>
    <t>YML091C</t>
  </si>
  <si>
    <t>Protein subunit of mitochondrial RNase P; has roles in nuclear transcription, cytoplasmic and mitochondrial RNA processing, and mitochondrial translation; distributed to mitochondria, cytoplasmic processing bodies, and the nucleus</t>
  </si>
  <si>
    <t>RPO41</t>
  </si>
  <si>
    <t>YFL036W</t>
  </si>
  <si>
    <t>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t>
  </si>
  <si>
    <t>RPP2A</t>
  </si>
  <si>
    <t>YOL039W</t>
  </si>
  <si>
    <t>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</si>
  <si>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RPS13</t>
  </si>
  <si>
    <t>YDR064W</t>
  </si>
  <si>
    <t>Protein component of the small (40S) ribosomal subunit; homologous to mammalian ribosomal protein S13 and bacterial S15</t>
  </si>
  <si>
    <t>YBR255C-A</t>
  </si>
  <si>
    <t>RPS20</t>
  </si>
  <si>
    <t>YHL015W</t>
  </si>
  <si>
    <t>Protein component of the small (40S) ribosomal subunit; overproduction suppresses mutations affecting RNA polymerase III-dependent transcription; homologous to mammalian ribosomal protein S20 and bacterial S10</t>
  </si>
  <si>
    <t>RPS29B</t>
  </si>
  <si>
    <t>YDL061C</t>
  </si>
  <si>
    <t>Protein component of the small (40S) ribosomal subunit; homologous to mammalian ribosomal protein S29 and bacterial S14; RPS29B has a paralog, RPS29A, that arose from the whole genome duplication</t>
  </si>
  <si>
    <t>RPS3</t>
  </si>
  <si>
    <t>YNL178W</t>
  </si>
  <si>
    <t>Protein component of the small (40S) ribosomal subunit; has apurinic/apyrimidinic (AP) endonuclease activity; essential for viability; homologous to mammalian ribosomal protein S3 and bacterial S3</t>
  </si>
  <si>
    <t>SAC1</t>
  </si>
  <si>
    <t>SDH3</t>
  </si>
  <si>
    <t>RPS5</t>
  </si>
  <si>
    <t>YJR123W</t>
  </si>
  <si>
    <t>Protein component of the small (40S) ribosomal subunit; least basic of non-acidic ribosomal proteins; phosphorylated in vivo; essential for viability; homologous to mammalian ribosomal protein S5 and bacterial S7</t>
  </si>
  <si>
    <t>RRF1</t>
  </si>
  <si>
    <t>YHR038W</t>
  </si>
  <si>
    <t>Mitochondrial ribosome recycling factor; essential for mitochondrial protein synthesis and for the maintenance of the respiratory function of mitochondria</t>
  </si>
  <si>
    <t>RRG1</t>
  </si>
  <si>
    <t>YDR065W</t>
  </si>
  <si>
    <t>Protein of unknown function; required for vacuolar acidification and mitochondrial genome maintenance; the authentic, non-tagged protein is detected in highly purified mitochondria in high-throughput studies</t>
  </si>
  <si>
    <t>RRG7</t>
  </si>
  <si>
    <t>YOR305W</t>
  </si>
  <si>
    <t>Protein of unknown function; green fluorescent protein (GFP)-fusion protein localizes to the mitochondrion; deletion confers sensitivity to 4-(N-(S-glutathionylacetyl)amino) phenylarsenoxide (GSAO); YOR305W is not an essential gene</t>
  </si>
  <si>
    <t>RRG8</t>
  </si>
  <si>
    <t>YPR116W</t>
  </si>
  <si>
    <t>Putative protein of unknown function; required for mitochondrial genome maintenance; null mutation results in a decrease in plasma membrane electron transport</t>
  </si>
  <si>
    <t>RRG9</t>
  </si>
  <si>
    <t>YNL213C</t>
  </si>
  <si>
    <t>Protein of unknown function; null mutant lacks mitochondrial DNA and cannot grow on glycerol; the authentic, non-tagged protein is detected in highly purified mitochondria in high-throughput studies</t>
  </si>
  <si>
    <t>RSM10</t>
  </si>
  <si>
    <t>YDR041W</t>
  </si>
  <si>
    <t>Mitochondrial ribosomal protein of the small subunit; has similarity to E. coli S10 ribosomal protein; essential for viability, unlike most other mitoribosomal proteins</t>
  </si>
  <si>
    <t>RSM18</t>
  </si>
  <si>
    <t>YER050C</t>
  </si>
  <si>
    <t>Mitochondrial ribosomal protein of the small subunit; has similarity to E. coli S18 ribosomal protein</t>
  </si>
  <si>
    <t>SCS2</t>
  </si>
  <si>
    <t>RSM19</t>
  </si>
  <si>
    <t>YNR037C</t>
  </si>
  <si>
    <t>Mitochondrial ribosomal protein of the small subunit; has similarity to E. coli S19 ribosomal protein</t>
  </si>
  <si>
    <t>RSM22</t>
  </si>
  <si>
    <t>YKL155C</t>
  </si>
  <si>
    <t>Mitochondrial ribosomal protein of the small subunit; also predicted to be an S-adenosylmethionine-dependent RNA methyltransferase</t>
  </si>
  <si>
    <t>TIM22</t>
  </si>
  <si>
    <t>RSM23</t>
  </si>
  <si>
    <t>YGL129C</t>
  </si>
  <si>
    <t>Mitochondrial ribosomal protein of the small subunit; has similarity to mammalian apoptosis mediator proteins; null mutation prevents induction of apoptosis by overproduction of metacaspase Mca1p</t>
  </si>
  <si>
    <t>RSM24</t>
  </si>
  <si>
    <t>YDR175C</t>
  </si>
  <si>
    <t>RSM25</t>
  </si>
  <si>
    <t>YIL093C</t>
  </si>
  <si>
    <t>RSM26</t>
  </si>
  <si>
    <t>YJR101W</t>
  </si>
  <si>
    <t>RSM27</t>
  </si>
  <si>
    <t>YGR215W</t>
  </si>
  <si>
    <t>YDR494W</t>
  </si>
  <si>
    <t>Mitochondrial ribosomal protein of the small subunit; genetic interactions suggest a possible role in promoting translation initiation</t>
  </si>
  <si>
    <t>RSM7</t>
  </si>
  <si>
    <t>YJR113C</t>
  </si>
  <si>
    <t>Mitochondrial ribosomal protein of the small subunit; has similarity to E. coli S7 ribosomal protein</t>
  </si>
  <si>
    <t>SCM4</t>
  </si>
  <si>
    <t>RSP5</t>
  </si>
  <si>
    <t>YER125W</t>
  </si>
  <si>
    <t>E3 ubiquitin ligase of NEDD4 family; regulates many cellular processes including MVB sorting, heat shock response, transcription, endocytosis, ribosome stability; mutant tolerates aneuploidy; autoubiquitinates; ubiquitinates Sec23p and Sna3p; deubiquitinated by Ubp2p; activity regulated by SUMO ligase Siz1p, in turn regulates Siz1p SUMO ligase activity; required for efficient Golgi-to-ER trafficking in COPI mutants; human homolog implicated in Liddle syndrome</t>
  </si>
  <si>
    <t>RSR1</t>
  </si>
  <si>
    <t>YGR152C</t>
  </si>
  <si>
    <t>GTP-binding protein of the Ras superfamily; required for bud site selection, morphological changes in response to mating pheromone, and efficient cell fusion; localized to the plasma membrane; significantly similar to mammalian Rap GTPases</t>
  </si>
  <si>
    <t>YME1</t>
  </si>
  <si>
    <t>RTC6</t>
  </si>
  <si>
    <t>YPL183W-A</t>
  </si>
  <si>
    <t>Protein involved in translation; mutants have defects in biogenesis of nuclear ribosomes; sequence similar to prokaryotic ribosomal protein L36, may be a mitochondrial ribosomal protein; protein abundance increases in response to DNA replication stress</t>
  </si>
  <si>
    <t>RTN1</t>
  </si>
  <si>
    <t>YDR233C</t>
  </si>
  <si>
    <t>Reticulon protein; stabilizes membrane curvature; involved in nuclear pore assembly and maintenance of tubular ER morphology; mutant overexpressing RTN1 shows increase in tubular ER; interacts with exocyst subunit Sec6p, Yip3p, and Sbh1p; more abundant than Rtn2p; member of the RTNLA subfamily; mutants have reduced phosphatidylserine transfer between the ER and mitochondria; RTN1 has a paralog, RTN2, that arose from the whole genome duplication</t>
  </si>
  <si>
    <t>RTN2</t>
  </si>
  <si>
    <t>YDL204W</t>
  </si>
  <si>
    <t>Reticulon protein; stabilizes membrane curvature; involved in nuclear pore assembly and maintenance of tubular ER morphology; interacts with exocyst subunit Sec6p, Yip3p, and Sbh1p; much less abundant than Rtn1p; rtn1 rtn2 yop1 triple mutant lacks tubular ER; member of RTNLA (reticulon-like A) subfamily; protein increases in abundance and relocalizes to plasma membrane upon DNA replication stress; RTN2 has a paralog, RTN1, that arose from the whole genome duplication</t>
  </si>
  <si>
    <t>YKL212W</t>
  </si>
  <si>
    <t>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t>
  </si>
  <si>
    <t>YET3</t>
  </si>
  <si>
    <t>SAM35</t>
  </si>
  <si>
    <t>YHR083W</t>
  </si>
  <si>
    <t>Component of the sorting and assembly machinery (SAM) complex; the SAM (or TOB) complex is located in the mitochondrial outer membrane; the complex binds precursors of beta-barrel proteins and facilitates their insertion into the outer membrane</t>
  </si>
  <si>
    <t>SAM37</t>
  </si>
  <si>
    <t>YMR060C</t>
  </si>
  <si>
    <t>Component of the Sorting and Assembly Machinery (SAM) complex; the SAM (or TOB) complex is located in the mitochondrial outer membrane; binds precursors of beta-barrel proteins and facilitates their outer membrane insertion; contributes to SAM complex stability</t>
  </si>
  <si>
    <t>SAM50</t>
  </si>
  <si>
    <t>YNL026W</t>
  </si>
  <si>
    <t>Component of the Sorting and Assembly Machinery (SAM) complex; the SAM (or TOB) complex is located in the mitochondrial outer membrane; the complex binds precursors of beta-barrel proteins and facilitates their outer membrane insertion; homologous to bacterial Omp85</t>
  </si>
  <si>
    <t>SEC4</t>
  </si>
  <si>
    <t>SAR1</t>
  </si>
  <si>
    <t>YPL218W</t>
  </si>
  <si>
    <t>GTPase, GTP-binding protein of the ARF family; component of COPII coat of vesicles; required for transport vesicle formation during ER to Golgi protein transport; lowers membrane rigidity helping in vesicle formation</t>
  </si>
  <si>
    <t>SCEI</t>
  </si>
  <si>
    <t>Q0160</t>
  </si>
  <si>
    <t>I-SceI DNA endonuclease; encoded by the mitochondrial group I intron of the 21S_rRNA gene; mediates gene conversion that propagates the intron into intron-less copies of the 21S_rRNA gene</t>
  </si>
  <si>
    <t>YGR049W</t>
  </si>
  <si>
    <t>Mitochondrial outer membrane protein of unknown function; predicted to have 4 transmembrane segments; import is mediated by Tom70p and Mim1p; interacts genetically with a cdc4 mutation; SCM4 has a paralog, ATG33, that arose from the whole genome duplication</t>
  </si>
  <si>
    <t>UBP16</t>
  </si>
  <si>
    <t>YBR037C</t>
  </si>
  <si>
    <t>Copper-binding protein of mitochondrial inner membrane; required for cytochrome c oxidase activity and respiration; may function to deliver copper to cytochrome c oxidase; similar to thioredoxins; SCO1 has a paralog, SCO2, that arose from the whole genome duplication</t>
  </si>
  <si>
    <t>YBR024W</t>
  </si>
  <si>
    <t>Protein anchored to mitochondrial inner membrane; may have a redundant function with Sco1p in delivery of copper to cytochrome c oxidase; interacts with Cox2p; SCO2 has a paralog, SCO1, that arose from the whole genome duplication</t>
  </si>
  <si>
    <t>TOM71</t>
  </si>
  <si>
    <t>TIM50</t>
  </si>
  <si>
    <t>YER120W</t>
  </si>
  <si>
    <t>Integral ER membrane protein, regulates phospholipid metabolism; one of 6 proteins (Ist2p, Scs2p, Scs22p, Tcb1p, Tcb2p, Tcb3p) that connect ER to the plasma membrane (PM) and regulate PI4P levels by controlling access of Sac1p phosphatase to its substrate PI4P in the PM; interacts with FFAT motif of Opi1p; involved in telomeric silencing; null shows inositol auxotrophy above 34 deg C; VAP homolog; SCS2 has a paralog, SCS22, that arose from the whole genome duplication</t>
  </si>
  <si>
    <t>SCW4</t>
  </si>
  <si>
    <t>YGR279C</t>
  </si>
  <si>
    <t>Cell wall protein with similarity to glucanases; scw4 scw10 double mutants exhibit defects in mating; SCW4 has a paralog, SCW10, that arose from the whole genome duplication</t>
  </si>
  <si>
    <t>TOM40</t>
  </si>
  <si>
    <t>SDH1</t>
  </si>
  <si>
    <t>YKL148C</t>
  </si>
  <si>
    <t>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SDH1 has a paralog, YJL045W, that arose from the whole genome duplication</t>
  </si>
  <si>
    <t>YDR381C-A</t>
  </si>
  <si>
    <t>SDH2</t>
  </si>
  <si>
    <t>YLL041C</t>
  </si>
  <si>
    <t>Iron-sulfur protein subunit of succinate dehydrogenase; the complex couples the oxidation of succinate to the transfer of electrons to ubiquinone as part of the TCA cycle and the mitochondrial respiratory chain; other members are Sdh1p, Sdh3p, and Sdh4p</t>
  </si>
  <si>
    <t>YKL141W</t>
  </si>
  <si>
    <t>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</si>
  <si>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SEC63</t>
  </si>
  <si>
    <t>YDR178W</t>
  </si>
  <si>
    <t>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t>
  </si>
  <si>
    <t>SDH5</t>
  </si>
  <si>
    <t>YOL071W</t>
  </si>
  <si>
    <t>Protein required for flavinylation of Sdh1p; binds to Sdh1p and promotes FAD cofactor attachment, which is necessary for succinate dehydrogenase (SDH) complex assembly and activity; mutations in human ortholog PGL2 are associated with neuroendocrine tumors (paraganglioma)</t>
  </si>
  <si>
    <t>YME2</t>
  </si>
  <si>
    <t>SDH6</t>
  </si>
  <si>
    <t>YDR379C-A</t>
  </si>
  <si>
    <t>Mitochondrial protein involved in assembly of succinate dehydrogenase; has a role in maturation of the Sdh2p subunit; member of the LYR protein family; mutations in human ortholog SDHAF1 are associated with infantile leukoencephalopathy</t>
  </si>
  <si>
    <t>SDH7</t>
  </si>
  <si>
    <t>YDR511W</t>
  </si>
  <si>
    <t>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t>
  </si>
  <si>
    <t>SDH8</t>
  </si>
  <si>
    <t>YBR269C</t>
  </si>
  <si>
    <t>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t>
  </si>
  <si>
    <t>YFL005W</t>
  </si>
  <si>
    <t>Rab family GTPase; essential for vesicle-mediated exocytic secretion and autophagy; associates with the exocyst component Sec15p and may regulate polarized delivery of transport vesicles to the exocyst at the plasma membrane</t>
  </si>
  <si>
    <t>YOR254C</t>
  </si>
  <si>
    <t>Essential subunit of Sec63 complex; with Sec61 complex, Kar2p/BiP and Lhs1p forms a channel competent for SRP-dependent and post-translational SRP-independent protein targeting and import into the ER; other members are Sec62p, Sec66p, and Sec72p</t>
  </si>
  <si>
    <t>SEG1</t>
  </si>
  <si>
    <t>YMR086W</t>
  </si>
  <si>
    <t>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t>
  </si>
  <si>
    <t>TCD1</t>
  </si>
  <si>
    <t>SEN2</t>
  </si>
  <si>
    <t>YLR105C</t>
  </si>
  <si>
    <t>Subunit of the tRNA splicing endonuclease; tRNA splicing endonuclease is composed of Sen2p, Sen15p, Sen34p, and Sen54p; Sen2p contains the active site for tRNA 5' splice site cleavage and has similarity to Sen34p and to Archaeal tRNA splicing endonuclease</t>
  </si>
  <si>
    <t>SEN34</t>
  </si>
  <si>
    <t>YAR008W</t>
  </si>
  <si>
    <t>Subunit of the tRNA splicing endonuclease; tRNA splicing endonuclease is composed of Sen2p, Sen15p, Sen34p, and Sen54p; Sen34p contains the active site for tRNA 3' splice site cleavage and has similarity to Sen2p and to Archaeal tRNA splicing endonuclease</t>
  </si>
  <si>
    <t>YDL012C</t>
  </si>
  <si>
    <t>SEN54</t>
  </si>
  <si>
    <t>YPL083C</t>
  </si>
  <si>
    <t>Subunit of the tRNA splicing endonuclease; tRNA splicing endonuclease is composed of Sen2p, Sen15p, Sen34p, and Sen54p</t>
  </si>
  <si>
    <t>SFC1</t>
  </si>
  <si>
    <t>YJR095W</t>
  </si>
  <si>
    <t>Mitochondrial succinate-fumarate transporter; transports succinate into and fumarate out of the mitochondrion; required for ethanol and acetate utilization</t>
  </si>
  <si>
    <t>STE24</t>
  </si>
  <si>
    <t>SFH5</t>
  </si>
  <si>
    <t>YJL145W</t>
  </si>
  <si>
    <t>Non-classical phosphatidylinositol transfer protein (PITP); exhibits PI- but not PC-transfer activity; localizes to the peripheral endoplasmic reticulum, cytosol and microsomes; similar to Sec14p; partially relocalizes to the plasma membrane upon DNA replication stress</t>
  </si>
  <si>
    <t>YDR393W</t>
  </si>
  <si>
    <t>Protein required for normal mitochondrial morphology; mitochondrial inner membrane protein; may be involved in fission of the inner membrane; forms a homo-oligomeric complex</t>
  </si>
  <si>
    <t>SHH4</t>
  </si>
  <si>
    <t>YLR164W</t>
  </si>
  <si>
    <t>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t>
  </si>
  <si>
    <t>TOM7</t>
  </si>
  <si>
    <t>SHM1</t>
  </si>
  <si>
    <t>YBR263W</t>
  </si>
  <si>
    <t>Mitochondrial serine hydroxymethyltransferase; converts serine to glycine plus 5,10 methylenetetrahydrofolate; involved in generating precursors for purine, pyrimidine, amino acid, and lipid biosynthesis; reverse reaction generates serine</t>
  </si>
  <si>
    <t>YGR112W</t>
  </si>
  <si>
    <t>Mitochondrial inner membrane protein required for complex IV assembly; associates with complex IV assembly intermediates and complex III/complex IV supercomplexes; similar to human SURF1 involved in Leigh Syndrome; complex IV is also known as cytochrome c oxidase</t>
  </si>
  <si>
    <t>SIS1</t>
  </si>
  <si>
    <t>YNL007C</t>
  </si>
  <si>
    <t>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t>
  </si>
  <si>
    <t>SLC1</t>
  </si>
  <si>
    <t>YDL052C</t>
  </si>
  <si>
    <t>1-acyl-sn-glycerol-3-phosphate acyltransferase; catalyzes the acylation of lysophosphatidic acid to form phosphatidic acid, a key intermediate in lipid metabolism; enzymatic activity detected in lipid particles and microsomes</t>
  </si>
  <si>
    <t>YGR012W</t>
  </si>
  <si>
    <t>YCP4</t>
  </si>
  <si>
    <t>SLM1</t>
  </si>
  <si>
    <t>YIL105C</t>
  </si>
  <si>
    <t>Phosphoinositide PI4,5P(2) binding protein, forms a complex with Slm2p; acts downstream of Mss4p in a pathway regulating actin cytoskeleton organization in response to stress; phosphorylated by the TORC2 complex; protein abundance increases in response to DNA replication stress; SLM1 has a paralog, SLM2, that arose from the whole genome duplication</t>
  </si>
  <si>
    <t>YDL183C</t>
  </si>
  <si>
    <t>SLM3</t>
  </si>
  <si>
    <t>YDL033C</t>
  </si>
  <si>
    <t>tRNA-specific 2-thiouridylase; responsible for 2-thiolation of the wobble base of mitochondrial tRNAs; human ortholog is implicated in myoclonus epilepsy associated with ragged red fibers (MERRF)</t>
  </si>
  <si>
    <t>TOM20</t>
  </si>
  <si>
    <t>SLM5</t>
  </si>
  <si>
    <t>YCR024C</t>
  </si>
  <si>
    <t>Mitochondrial asparaginyl-tRNA synthetase</t>
  </si>
  <si>
    <t>SLN1</t>
  </si>
  <si>
    <t>YIL147C</t>
  </si>
  <si>
    <t>Transmembrane histidine phosphotransfer kinase and osmosensor; regulates MAP kinase cascade; transmembrane protein with an intracellular kinase domain that signals to Ypd1p and Ssk1p, thereby forming a phosphorelay system similar to bacterial two-component regulators</t>
  </si>
  <si>
    <t>SLS1</t>
  </si>
  <si>
    <t>YLR139C</t>
  </si>
  <si>
    <t>Mitochondrial membrane protein; coordinates expression of mitochondrially-encoded genes; may facilitate delivery of mRNA to membrane-bound translation machinery</t>
  </si>
  <si>
    <t>SMM1</t>
  </si>
  <si>
    <t>YNR015W</t>
  </si>
  <si>
    <t>Dihydrouridine synthase; member of a family of dihydrouridine synthases including Dus1p, Smm1p, Dus3p, and Dus4p; modifies uridine residues at position 20 of cytoplasmic tRNAs</t>
  </si>
  <si>
    <t>SNL1</t>
  </si>
  <si>
    <t>YIL016W</t>
  </si>
  <si>
    <t>Ribosome-associated protein; proposed to act in protein synthesis and nuclear pore complex biogenesis and maintenance as well as protein folding; has similarity to the mammalian BAG-1 protein</t>
  </si>
  <si>
    <t>SNU13</t>
  </si>
  <si>
    <t>YEL026W</t>
  </si>
  <si>
    <t>RNA binding protein; part of U3 snoRNP involved in rRNA processing, part of U4/U6-U5 tri-snRNP involved in mRNA splicing, similar to human 15.5K protein</t>
  </si>
  <si>
    <t>SOD1</t>
  </si>
  <si>
    <t>YJR104C</t>
  </si>
  <si>
    <t>Cytosolic copper-zinc superoxide dismutase; detoxifies superoxide; stabilizes Yck1p and Yck2p kinases in glucose to repress respiration; phosphorylated by Dun1p and enters the nucleus under oxidative stress to promote transcription of stress response genes; human ortholog implicated in ALS; abundance increases under DNA replication stress and during exposure to boric acid; localization of a fraction to the mitochondrial intermembrane space is modulated by the MICOS complex</t>
  </si>
  <si>
    <t>SOD2</t>
  </si>
  <si>
    <t>YHR008C</t>
  </si>
  <si>
    <t>Mitochondrial manganese superoxide dismutase; protects cells against oxygen toxicity; phosphorylated</t>
  </si>
  <si>
    <t>SPF1</t>
  </si>
  <si>
    <t>SOM1</t>
  </si>
  <si>
    <t>YEL059C-A</t>
  </si>
  <si>
    <t>Subunit of the mitochondrial inner membrane peptidase (IMP); IMP is required for maturation of mitochondrial proteins of the intermembrane space; Som1p facilitates cleavage of a subset of substrates; contains twin cysteine-x9-cysteine motifs</t>
  </si>
  <si>
    <t>SOV1</t>
  </si>
  <si>
    <t>YMR066W</t>
  </si>
  <si>
    <t>YPT32</t>
  </si>
  <si>
    <t>YEL031W</t>
  </si>
  <si>
    <t>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t>
  </si>
  <si>
    <t>SPG1</t>
  </si>
  <si>
    <t>YGR236C</t>
  </si>
  <si>
    <t>Protein required for high temperature survival during stationary phase; not required for growth on nonfermentable carbon sources; the authentic, non-tagged protein is detected in highly purified mitochondria in high-throughput studies</t>
  </si>
  <si>
    <t>SPG4</t>
  </si>
  <si>
    <t>YMR107W</t>
  </si>
  <si>
    <t>Protein required for high temperature survival during stationary phase; not required for growth on nonfermentable carbon sources</t>
  </si>
  <si>
    <t>TOM70</t>
  </si>
  <si>
    <t>TIM11</t>
  </si>
  <si>
    <t>YKR031C</t>
  </si>
  <si>
    <t>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t>
  </si>
  <si>
    <t>TOM5</t>
  </si>
  <si>
    <t>SPO73</t>
  </si>
  <si>
    <t>YER046W</t>
  </si>
  <si>
    <t>Meiosis-specific protein of unknown function; required for spore wall formation during sporulation; dispensible for both nuclear divisions during meiosis</t>
  </si>
  <si>
    <t>SPS19</t>
  </si>
  <si>
    <t>YNL202W</t>
  </si>
  <si>
    <t>Peroxisomal 2,4-dienoyl-CoA reductase; auxiliary enzyme of fatty acid beta-oxidation; homodimeric enzyme required for growth and sporulation on petroselineate medium; expression induced during late sporulation and in the presence of oleate</t>
  </si>
  <si>
    <t>SPT6</t>
  </si>
  <si>
    <t>YGR116W</t>
  </si>
  <si>
    <t>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t>
  </si>
  <si>
    <t>SSC1</t>
  </si>
  <si>
    <t>YJR045C</t>
  </si>
  <si>
    <t>Hsp70 family ATPase; constituent of the import motor component of the Translocase of the Inner Mitochondrial membrane (TIM23 complex); involved in protein translocation and folding; subunit of SceI endonuclease; SSC1 has a paralog, ECM10, that arose from the whole genome duplication</t>
  </si>
  <si>
    <t>YPL232W</t>
  </si>
  <si>
    <t>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t>
  </si>
  <si>
    <t>YMR183C</t>
  </si>
  <si>
    <t>Plasma membrane t-SNARE; involved in fusion of secretory vesicles at the plasma membrane; syntaxin homolog that is functionally redundant with Sso1p; SSO2 has a paralog, SSO1, that arose from the whole genome duplication</t>
  </si>
  <si>
    <t>SSQ1</t>
  </si>
  <si>
    <t>YLR369W</t>
  </si>
  <si>
    <t>Mitochondrial hsp70-type molecular chaperone; required for assembly of iron/sulfur clusters into proteins at a step after cluster synthesis, and for maturation of Yfh1p, which is a homolog of human frataxin implicated in Friedreich's ataxia</t>
  </si>
  <si>
    <t>STE18</t>
  </si>
  <si>
    <t>YJR086W</t>
  </si>
  <si>
    <t>G protein gamma subunit; forms a dimer with Ste4p to activate the mating signaling pathway, forms a heterotrimer with Gpa1p and Ste4p to dampen signaling; C-terminus is palmitoylated and farnesylated, which are required for normal signaling</t>
  </si>
  <si>
    <t>UGO1</t>
  </si>
  <si>
    <t>TIM23</t>
  </si>
  <si>
    <t>STE23</t>
  </si>
  <si>
    <t>YLR389C</t>
  </si>
  <si>
    <t>Metalloprotease; involved in N-terminal processing of pro-a-factor to the mature form; expressed in both haploids and diploids; member of the insulin-degrading enzyme family; homolog Axl1p is also involved in processing of pro-a-factor</t>
  </si>
  <si>
    <t>TSC10</t>
  </si>
  <si>
    <t>YJR117W</t>
  </si>
  <si>
    <t>Highly conserved zinc metalloprotease; functions in two steps of a-factor maturation, C-terminal CAAX proteolysis and the first step of N-terminal proteolytic processing; contains multiple transmembrane spans</t>
  </si>
  <si>
    <t>STE4</t>
  </si>
  <si>
    <t>YOR212W</t>
  </si>
  <si>
    <t>G protein beta subunit; forms a dimer with Ste18p to activate the mating signaling pathway, forms a heterotrimer with Gpa1p and Ste18p to dampen signaling; may recruit Rho1p to the polarized growth site during mating; contains WD40 repeats</t>
  </si>
  <si>
    <t>YNR021W</t>
  </si>
  <si>
    <t>TIM54</t>
  </si>
  <si>
    <t>STF1</t>
  </si>
  <si>
    <t>YDL130W-A</t>
  </si>
  <si>
    <t>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t>
  </si>
  <si>
    <t>YOP1</t>
  </si>
  <si>
    <t>STT4</t>
  </si>
  <si>
    <t>YLR305C</t>
  </si>
  <si>
    <t>Phosphatidylinositol-4-kinase; functions in the Pkc1p protein kinase pathway; required for normal vacuole morphology, cell wall integrity, and actin cytoskeleton organization</t>
  </si>
  <si>
    <t>SUA5</t>
  </si>
  <si>
    <t>YGL169W</t>
  </si>
  <si>
    <t>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t>
  </si>
  <si>
    <t>SUR7</t>
  </si>
  <si>
    <t>YML052W</t>
  </si>
  <si>
    <t>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t>
  </si>
  <si>
    <t>YPT7</t>
  </si>
  <si>
    <t>SUV3</t>
  </si>
  <si>
    <t>YPL029W</t>
  </si>
  <si>
    <t>ATP-dependent RNA helicase; component of the mitochondrial degradosome along with the RNase Dss1p; the degradosome associates with the ribosome and mediates RNA turnover; also required during splicing of the COX1 AI5_beta intron</t>
  </si>
  <si>
    <t>SWS2</t>
  </si>
  <si>
    <t>YNL081C</t>
  </si>
  <si>
    <t>Putative mitochondrial ribosomal protein of the small subunit; has similarity to E. coli S13 ribosomal protein; participates in controlling sporulation efficiency; localizes to vacuole in response to H2O2</t>
  </si>
  <si>
    <t>SYM1</t>
  </si>
  <si>
    <t>YLR251W</t>
  </si>
  <si>
    <t>Protein required for ethanol metabolism; induced by heat shock and localized to the inner mitochondrial membrane; homologous to mammalian peroxisomal membrane protein Mpv17</t>
  </si>
  <si>
    <t>UIP4</t>
  </si>
  <si>
    <t>SYP1</t>
  </si>
  <si>
    <t>YCR030C</t>
  </si>
  <si>
    <t>Negative regulator of WASP-Arp23 complex; involved in endocytic site formation; directly inhibits Las17p stimulation of Arp23 complex-mediated actin assembly in vitro; may regulate assembly and disassembly of the septin ring; colocalizes and interacts with septin subunits; potential role in actin cytoskeletal organization</t>
  </si>
  <si>
    <t>TAM41</t>
  </si>
  <si>
    <t>YGR046W</t>
  </si>
  <si>
    <t>Mitochondrial phosphatidate cytidylyltransferase (CDP-DAG synthase); required for cardiolipin biosynthesis; viability of null mutant is strain-dependent; mRNA is targeted to the bud; mutant displays defect in mitochondrial protein import, likely due to altered membrane lipid composition</t>
  </si>
  <si>
    <t>YPT31</t>
  </si>
  <si>
    <t>YBR069C</t>
  </si>
  <si>
    <t>Amino acid transporter for valine, leucine, isoleucine, and tyrosine; low-affinity tryptophan and histidine transporter; overexpression confers FK506 and FTY720 resistance; protein abundance increases in response to DNA replication stress</t>
  </si>
  <si>
    <t>YPT52</t>
  </si>
  <si>
    <t>TAZ1</t>
  </si>
  <si>
    <t>YPR140W</t>
  </si>
  <si>
    <t>Lyso-phosphatidylcholine acyltransferase; required for normal phospholipid content of mitochondrial membranes; major determinant of the final acyl chain composition of the mitochondrial-specific phospholipid cardiolipin; mutations in human ortholog tafazzin cause Barth syndrome, a rare X-linked disease characterized by skeletal and cardiomyopathy and bouts of cyclic neutropenia</t>
  </si>
  <si>
    <t>YMC1</t>
  </si>
  <si>
    <t>TCB1</t>
  </si>
  <si>
    <t>YOR086C</t>
  </si>
  <si>
    <t>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t>
  </si>
  <si>
    <t>YML072C</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</si>
  <si>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t>
  </si>
  <si>
    <t>YHR003C</t>
  </si>
  <si>
    <t>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t>
  </si>
  <si>
    <t>YKL027W</t>
  </si>
  <si>
    <t>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t>
  </si>
  <si>
    <t>TCM62</t>
  </si>
  <si>
    <t>YBR044C</t>
  </si>
  <si>
    <t>Protein involved in assembly of the succinate dehydrogenase complex; mitochondrial; putative chaperone</t>
  </si>
  <si>
    <t>TDH1</t>
  </si>
  <si>
    <t>YJL052W</t>
  </si>
  <si>
    <t>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t>
  </si>
  <si>
    <t>TDH2</t>
  </si>
  <si>
    <t>YJR009C</t>
  </si>
  <si>
    <t>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</si>
  <si>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YSC83</t>
  </si>
  <si>
    <t>TDH3</t>
  </si>
  <si>
    <t>YGR192C</t>
  </si>
  <si>
    <t>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bateria; binds AU-rich RNA; TDH3 has a paralog, TDH2, that arose from the whole genome duplication</t>
  </si>
  <si>
    <t>TES1</t>
  </si>
  <si>
    <t>YJR019C</t>
  </si>
  <si>
    <t>Peroxisomal acyl-CoA thioesterase; likely to be involved in fatty acid oxidation rather than fatty acid synthesis; conserved protein also found in human peroxisomes; TES1 mRNA levels increase during growth on fatty acids</t>
  </si>
  <si>
    <t>TGL2</t>
  </si>
  <si>
    <t>YDR058C</t>
  </si>
  <si>
    <t>Triacylglycerol lipase that is localized to the mitochondria; has lipolytic activity towards triacylglycerols and diacylglycerols when expressed in E. coli</t>
  </si>
  <si>
    <t>TIM10</t>
  </si>
  <si>
    <t>YHR005C-A</t>
  </si>
  <si>
    <t>Essential protein of the mitochondrial intermembrane space; forms a complex with Tim9p (TIM10 complex) that delivers hydrophobic proteins to the TIM22 complex for insertion into the inner membrane</t>
  </si>
  <si>
    <t>YDR322C-A</t>
  </si>
  <si>
    <t>Subunit e of mitochondrial F1F0-ATPase; ATPase is a large, evolutionarily conserved enzyme complex required for ATP synthesis; essential for the dimeric and oligomeric state of ATP synthase, which in turn determines the shape of inner membrane cristae</t>
  </si>
  <si>
    <t>TIM12</t>
  </si>
  <si>
    <t>YBR091C</t>
  </si>
  <si>
    <t>Essential protein of the inner mitochondrial membrane; peripherally localized; component of the TIM22 complex, which is a twin-pore translocase that mediates insertion of numerous multispanning inner membrane proteins</t>
  </si>
  <si>
    <t>TIM13</t>
  </si>
  <si>
    <t>YGR181W</t>
  </si>
  <si>
    <t>Mitochondrial intermembrane space protein; forms a complex with Tim8p that delivers a subset of hydrophobic proteins to the TIM22 complex for insertion into the inner membrane</t>
  </si>
  <si>
    <t>YJR085C</t>
  </si>
  <si>
    <t>TIM17</t>
  </si>
  <si>
    <t>YJL143W</t>
  </si>
  <si>
    <t>Essential component of the TIM23 complex; with Tim23p, contributes to the architecture and function of the import channel; may link the import motor to the core Translocase of the Inner Mitochondrial membrane (TIM23 complex)</t>
  </si>
  <si>
    <t>TIM21</t>
  </si>
  <si>
    <t>YGR033C</t>
  </si>
  <si>
    <t>Nonessential component of the TIM23 complex; interacts with the Translocase of the Outer Mitochondrial membrane (TOM complex) and with respiratory enzymes; may regulate the Translocase of the Inner Mitochondrial membrane (TIM23 complex) activity</t>
  </si>
  <si>
    <t>YDL217C</t>
  </si>
  <si>
    <t>Essential core component of the mitochondrial TIM22 complex; involved in insertion of polytopic proteins into the inner membrane; forms the channel through which proteins are imported</t>
  </si>
  <si>
    <t>YNR017W</t>
  </si>
  <si>
    <t xml:space="preserve">Essential component of the TIM23 complex; involved in protein import into mitochondrial matrix and inner membrane; with Tim17p, contributes to architecture and function of the import channel; TIM23 complex is short for the translocase of the inner mitochondrial membrane </t>
  </si>
  <si>
    <t>TIM44</t>
  </si>
  <si>
    <t>YIL022W</t>
  </si>
  <si>
    <t xml:space="preserve">Essential component of the TIM23 complex; tethers the import motor and regulatory factors (PAM complex) to the translocation channel (Tim23p-Tim17p core complex); TIM23 complex is short for the translocase of the inner mitochondrial membrane </t>
  </si>
  <si>
    <t>YPL063W</t>
  </si>
  <si>
    <t>Essential component of the TIM23 complex; acts as receptor for the translocase of the inner mitochondrial membrane (TIM23) complex guiding incoming precursors from the TOM complex; may control the gating of the Tim23p-Tim17p channel</t>
  </si>
  <si>
    <t>YJL054W</t>
  </si>
  <si>
    <t>Component of the mitochondrial TIM22 complex; involved in insertion of polytopic proteins into the inner membrane</t>
  </si>
  <si>
    <t>TIM8</t>
  </si>
  <si>
    <t>YJR135W-A</t>
  </si>
  <si>
    <t>Mitochondrial intermembrane space protein; forms a complex with Tim13p that delivers a subset of hydrophobic proteins to the TIM22 complex for inner membrane insertion; homolog of human TIMM8A, implicated in Mohr-Tranebjaerg syndrome</t>
  </si>
  <si>
    <t>TIM9</t>
  </si>
  <si>
    <t>YEL020W-A</t>
  </si>
  <si>
    <t>Essential protein of the mitochondrial intermembrane space; forms a complex with Tim10p (TIM10 complex) that delivers hydrophobic proteins to the TIM22 complex for insertion into the inner membrane</t>
  </si>
  <si>
    <t>TKL1</t>
  </si>
  <si>
    <t>YPR074C</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</si>
  <si>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</si>
  <si>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TMA19</t>
  </si>
  <si>
    <t>YKL056C</t>
  </si>
  <si>
    <t>Protein that associates with ribosomes; homolog of translationally controlled tumor protein; green fluorescent protein (GFP)-fusion protein localizes to the cytoplasm and relocates to the mitochondrial outer surface upon oxidative stress</t>
  </si>
  <si>
    <t>YGR082W</t>
  </si>
  <si>
    <t>Component of the TOM (translocase of outer membrane) complex; responsible for recognition and initial import steps for all mitochondrially directed proteins; acts as a receptor for incoming precursor proteins</t>
  </si>
  <si>
    <t>YNL131W</t>
  </si>
  <si>
    <t>Component of the TOM (Translocase of Outer Membrane) complex; responsible for initial import of mitochondrially directed proteins; mediates interaction between TOM and TIM complexes and acts as a receptor for precursor proteins</t>
  </si>
  <si>
    <t>YMR203W</t>
  </si>
  <si>
    <t>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t>
  </si>
  <si>
    <t>YPR133W-A</t>
  </si>
  <si>
    <t>Component of the TOM (translocase of outer membrane) complex; responsible for recognition and initial import of all mitochondrially directed proteins; involved in transfer of precursors from the Tom70p and Tom20p receptors to the Tom40p pore</t>
  </si>
  <si>
    <t>YNL070W</t>
  </si>
  <si>
    <t>Component of the TOM (translocase of outer membrane) complex; responsible for recognition and initial import steps for all mitochondrially directed proteins; promotes assembly and stability of the TOM complex</t>
  </si>
  <si>
    <t>YNL121C</t>
  </si>
  <si>
    <t>Component of the TOM (translocase of outer membrane) complex; involved in the recognition and initial import steps for all mitochondrially directed proteins; acts as a receptor for incoming precursor proteins; TOM70 has a paralog, TOM71, that arose from the whole genome duplication</t>
  </si>
  <si>
    <t>YHR117W</t>
  </si>
  <si>
    <t>Mitochondrial outer membrane protein; probable minor component of the TOM (translocase of outer membrane) complex responsible for recognition and import of mitochondrially directed proteins; TOM71 has a paralog, TOM70, that arose from the whole genome duplication</t>
  </si>
  <si>
    <t>TPC1</t>
  </si>
  <si>
    <t>YGR096W</t>
  </si>
  <si>
    <t>Mitochondrial membrane transporter; mediates uptake of the essential cofactor thiamine pyrophosphate (ThPP) into mitochondria; expression appears to be regulated by carbon source; member of the mitochondrial carrier family</t>
  </si>
  <si>
    <t>TPI1</t>
  </si>
  <si>
    <t>YDR050C</t>
  </si>
  <si>
    <t>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TPI causes a rare autosomal disease</t>
  </si>
  <si>
    <t>TPM1</t>
  </si>
  <si>
    <t>YNL079C</t>
  </si>
  <si>
    <t>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</si>
  <si>
    <t>YLL028W</t>
  </si>
  <si>
    <t>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t>
  </si>
  <si>
    <t>WBP1</t>
  </si>
  <si>
    <t>YPR156C</t>
  </si>
  <si>
    <t>Polyamine transporter of the major facilitator superfamily; member of the 12-spanner drug:H(+) antiporter DHA1 family; specific for spermine; localizes to the plasma membrane; TPO3 has a paralog, TPO2, that arose from the whole genome duplication</t>
  </si>
  <si>
    <t>TRM1</t>
  </si>
  <si>
    <t>YDR120C</t>
  </si>
  <si>
    <t>tRNA methyltransferase; two forms of protein are made by alternative translation starts; localizes to both nucleus and mitochondrion to produce modified base N2,N2-dimethylguanosine in tRNAs in both compartments; nuclear Trm1p is evenly distributed around inner membrane in WT, but mislocalizes as puncta near ER-nucleus junctions in spindle pole body (SPB) mutants; both Trm1p inner nuclear membrane targeting and maintenance depend upon SPB</t>
  </si>
  <si>
    <t>TRR1</t>
  </si>
  <si>
    <t>YDR353W</t>
  </si>
  <si>
    <t>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</si>
  <si>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TRR2</t>
  </si>
  <si>
    <t>YHR106W</t>
  </si>
  <si>
    <t>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t>
  </si>
  <si>
    <t>TRX1</t>
  </si>
  <si>
    <t>YLR043C</t>
  </si>
  <si>
    <t>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t>
  </si>
  <si>
    <t>TRX2</t>
  </si>
  <si>
    <t>YGR209C</t>
  </si>
  <si>
    <t>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t>
  </si>
  <si>
    <t>TRX3</t>
  </si>
  <si>
    <t>YCR083W</t>
  </si>
  <si>
    <t>Mitochondrial thioredoxin; highly conserved oxidoreductase required to maintain the redox homeostasis of the cell, forms the mitochondrial thioredoxin system with Trr2p, redox state is maintained by both Trr2p and Glr1p</t>
  </si>
  <si>
    <t>TRZ1</t>
  </si>
  <si>
    <t>YKR079C</t>
  </si>
  <si>
    <t>tRNA 3'-end processing endonuclease tRNase Z; also localized to mitochondria and interacts genetically with Rex2 exonuclease; homolog of the human candidate prostate cancer susceptibility gene ELAC2</t>
  </si>
  <si>
    <t>YBR265W</t>
  </si>
  <si>
    <t>3-ketosphinganine reductase; catalyzes the second step in phytosphingosine synthesis; essential for growth in the absence of exogenous dihydrosphingosine or phytosphingosine; localized to lipid droplets; member of short chain dehydrogenase/reductase protein family</t>
  </si>
  <si>
    <t>TUF1</t>
  </si>
  <si>
    <t>YOR187W</t>
  </si>
  <si>
    <t>Mitochondrial translation elongation factor Tu; comprises both GTPase and guanine nucleotide exchange factor activities, while these activities are found in separate proteins in S. pombe and humans</t>
  </si>
  <si>
    <t>YPR098C</t>
  </si>
  <si>
    <t>TUM1</t>
  </si>
  <si>
    <t>YOR251C</t>
  </si>
  <si>
    <t>Rhodanese domain sulfur transferase; accepts persulfite from Nfs1p and transfers it to Uba4p in the pathway for 2-thiolation of the wobble uridine base of tRNAs; also stimulates sulfur transfer by Nfs1p; may be mitochondrially localized</t>
  </si>
  <si>
    <t>YPL072W</t>
  </si>
  <si>
    <t>Deubiquitinating enzyme anchored to the outer mitochondrial membrane; probably not important for general mitochondrial functioning, but may perform a more specialized function at mitochondria</t>
  </si>
  <si>
    <t>YML013W</t>
  </si>
  <si>
    <t>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t>
  </si>
  <si>
    <t>YDR470C</t>
  </si>
  <si>
    <t>Outer membrane component of the mitochondrial fusion machinery; binds directly to Fzo1p and Mgm1p and thus links these two GTPases during mitochondrial fusion; involved in fusion of both the outer and inner membranes; facilitates dimerization of Fzo1p during fusion; import into the outer membrane is mediated by Tom70p and Mim1p; has similarity to carrier proteins but is not likely to function as a transmembrane transporter</t>
  </si>
  <si>
    <t>YPL186C</t>
  </si>
  <si>
    <t>Protein that interacts with Ulp1p; a Ubl (ubiquitin-like protein)-specific protease for Smt3p protein conjugates; detected in a phosphorylated state in the mitochondrial outer membrane; also detected in ER and nuclear envelope</t>
  </si>
  <si>
    <t>UPS3</t>
  </si>
  <si>
    <t>YDR185C</t>
  </si>
  <si>
    <t>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t>
  </si>
  <si>
    <t>USB1</t>
  </si>
  <si>
    <t>YLR132C</t>
  </si>
  <si>
    <t>Putative phosphodiesterase specific for U6 snRNA 3' end modification; trims the 3' poly(u) tract to leave a terminal 3' phosphate; human homolog, hUSB1 (aka C16orf57) produces a 2',3' cyclic phosphate; mutations in hUSB1 are associated with a rare skin condition (OMIM 604173); essential protein that localizes to the nucleus and mitochondria; overexpression suppresses the respiratory defects of oxa1 and mtf2 mutants</t>
  </si>
  <si>
    <t>UTH1</t>
  </si>
  <si>
    <t>YKR042W</t>
  </si>
  <si>
    <t>Mitochondrial inner membrane protein; role in mitophagy is disputed; implicated in cell wall biogenesis, the oxidative stress response, life span during starvation, and cell death; SUN family member; UTH1 has a paralog, NCA3, that arose from the whole genome duplication</t>
  </si>
  <si>
    <t>VAC8</t>
  </si>
  <si>
    <t>YEL013W</t>
  </si>
  <si>
    <t>Phosphorylated and palmitoylated vacuolar membrane protein; interacts with Atg13p, required for the cytoplasm-to-vacuole targeting (Cvt) pathway; interacts with Nvj1p to form nucleus-vacuole junctions</t>
  </si>
  <si>
    <t>VAR1</t>
  </si>
  <si>
    <t>Q0140</t>
  </si>
  <si>
    <t>Mitochondrial ribosomal protein of the small subunit; mitochondrially-encoded; polymorphic in different strains due to variation in number of AAT (asparagine) codons; translated near the mitochondrial inner membrane; may have a role in loss of mitochondrial DNA under stress conditions</t>
  </si>
  <si>
    <t>VAS1</t>
  </si>
  <si>
    <t>YGR094W</t>
  </si>
  <si>
    <t>Mitochondrial and cytoplasmic valyl-tRNA synthetase</t>
  </si>
  <si>
    <t>VPS1</t>
  </si>
  <si>
    <t>YKR001C</t>
  </si>
  <si>
    <t>Dynamin-like GTPase required for vacuolar sorting; also involved in actin cytoskeleton organization, endocytosis, late Golgi-retention of some proteins, regulation of peroxisome biogenesis</t>
  </si>
  <si>
    <t>VPS13</t>
  </si>
  <si>
    <t>YLL040C</t>
  </si>
  <si>
    <t>Protein involved in prospore membrane morphogenesis; heterooligomeric or homooligomeric complex; peripherally associated with membranes; involved in sporulation, vacuolar protein sorting, prospore membrane formation during sporulatoin, and protein-Golgi retention; homologous to human CHAC and COH1 which are involved in chorea acanthocytosis and Cohen syndrome, respectively</t>
  </si>
  <si>
    <t>VPS21</t>
  </si>
  <si>
    <t>YOR089C</t>
  </si>
  <si>
    <t>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t>
  </si>
  <si>
    <t>0.05*</t>
  </si>
  <si>
    <t>YEL002C</t>
  </si>
  <si>
    <t>Beta subunit of the oligosaccharyl transferase glycoprotein complex; required for N-linked glycosylation of proteins in the endoplasmic reticulum</t>
  </si>
  <si>
    <t>WWM1</t>
  </si>
  <si>
    <t>YFL010C</t>
  </si>
  <si>
    <t>WW domain containing protein of unknown function; binds to Mca1p, a caspase-related protease that regulates H2O2-induced apoptosis; overexpression causes G1 phase growth arrest and clonal death that is suppressed by overexpression of MCA1</t>
  </si>
  <si>
    <t>XDJ1</t>
  </si>
  <si>
    <t>YLR090W</t>
  </si>
  <si>
    <t>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t>
  </si>
  <si>
    <t>YAH1</t>
  </si>
  <si>
    <t>YPL252C</t>
  </si>
  <si>
    <t>Ferredoxin of the mitochondrial matrix; required for formation of cellular iron-sulfur proteins; involved in heme A biosynthesis; homologous to human adrenodoxin</t>
  </si>
  <si>
    <t>YAL044W-A</t>
  </si>
  <si>
    <t>Putative protein of unknown function; similar to S. pombe uvi31 which is a putative DNA repair protein</t>
  </si>
  <si>
    <t>Protein of unknown function; green fluorescent protein (GFP)-fusion protein localizes to the cell periphery; protein abundance increases in response to DNA replication stress; has potential orthologs in Saccharomyces species and in Yarrowia lipolytica</t>
  </si>
  <si>
    <t>Putative protein of unknown function; the authentic, non-tagged protein is detected in highly purified mitochondria in high-throughput studies; YBL059W has a paralog, YER093C-A, that arose from the whole genome duplication</t>
  </si>
  <si>
    <t>YBL095W</t>
  </si>
  <si>
    <t>Putative protein of unknown function; likely functions in cristae junction formation; the authentic, non-tagged protein is detected in highly purified mitochondria in high-throughput studies</t>
  </si>
  <si>
    <t>Tail-anchored plasma membrane protein with a conserved CYSTM module; predicted to be palmitoylated; has similarity to hydrophilins, which are involved in the adaptive response to hyperosmotic conditions; YBR016W has a paralog, YDL012C, that arose from the whole genome duplication</t>
  </si>
  <si>
    <t>YBR056W</t>
  </si>
  <si>
    <t>Putative glycoside hydrolase of the mitochondrial intermembrane space</t>
  </si>
  <si>
    <t>Putative protein of unknown function; may interact with respiratory chain complexes III (ubiquinol-cytochrome c reductase) or IV (cytochrome c oxidase); identified by sequence comparison with hemiascomycetous yeast species</t>
  </si>
  <si>
    <t>YHR135C</t>
  </si>
  <si>
    <t>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YCK1 has a paralog, YCK2, that arose from the whole genome duplication</t>
  </si>
  <si>
    <t>YNL154C</t>
  </si>
  <si>
    <t>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YCK2 has a paralog, YCK1, that arose from the whole genome duplication</t>
  </si>
  <si>
    <t>YCR004C</t>
  </si>
  <si>
    <t>Protein of unknown function; has sequence and structural similarity to flavodoxins; predicted to be palmitoylated; the authentic, non-tagged protein is detected in highly purified mitochondria in high-throughput studies</t>
  </si>
  <si>
    <t>Tail-anchored plasma membrane protein with a conserved CYSTM module; possibly involved in response to stress; may contribute to non-homologous end-joining (NHEJ) based on ydl012c htz1 double null phenotype; YDL012C has a paralog, YBR016W, that arose from the whole genome duplication</t>
  </si>
  <si>
    <t>Putative protein of unknown function; the authentic, non-tagged protein is detected in highly purified mitochondria in high-throughput studies; YDL027C is not an essential gene</t>
  </si>
  <si>
    <t>YDL119C</t>
  </si>
  <si>
    <t>Putative mitochondrial transport protein; GFP-fusion protein is induced in response to the DNA-damaging agent MMS; the authentic, non-tagged protein is detected in purified mitochondria</t>
  </si>
  <si>
    <t>YDL124W</t>
  </si>
  <si>
    <t>NADPH-dependent alpha-keto amide reductase; reduces aromatic alpha-keto amides, aliphatic alpha-keto esters, and aromatic alpha-keto esters; member of the aldo-keto reductase (AKR) family; protein abundance increases in response to DNA replication stress</t>
  </si>
  <si>
    <t>YDL157C</t>
  </si>
  <si>
    <t>Protein that may form an active mitochondrial KHE system; mitochondrial inner-membrane protein; non-essential gene; KHE system stands for K+/H+ exchanger system</t>
  </si>
  <si>
    <t>Putative protein of unknown function; YDL218W transcription is regulated by Azf1p and induced by starvation and aerobic conditions; expression also induced in cells treated with the mycotoxin patulin</t>
  </si>
  <si>
    <t>YDR061W</t>
  </si>
  <si>
    <t>Protein with similarity to ABC transporter family members; lacks predicted membrane-spanning regions; transcriptionally activated by Yrm1p along with genes involved in multidrug resistance</t>
  </si>
  <si>
    <t>YDR115W</t>
  </si>
  <si>
    <t>Putative mitochondrial ribosomal protein of the large subunit; similar to E. coli L34 ribosomal protein; required for respiratory growth, as are most mitochondrial ribosomal proteins; protein increases in abundance and relocalizes to the plasma membrane upon DNA replication stress</t>
  </si>
  <si>
    <t>Mitochondrial inner membrane protein of unknown function; localizes to the inner membrane with the C terminus facing the intermembrane space; ortholog of human RMND1, mutation in which is implicated in infantile encephaloneuromyopathy and defective mitochondrial translation</t>
  </si>
  <si>
    <t>YDR286C</t>
  </si>
  <si>
    <t>Putative protein of unknown function; predicted to have thiol-disulfide oxidoreductase active site</t>
  </si>
  <si>
    <t>Protein of unknown function; localized to the mitochondrial outer membrane</t>
  </si>
  <si>
    <t>YEL006W</t>
  </si>
  <si>
    <t>Putative mitochondrial NAD+ transporter; member of the mitochondrial carrier subfamily (see also YIA6); has putative human ortholog; YEA6 has a paralog, YIA6, that arose from the whole genome duplication</t>
  </si>
  <si>
    <t>YER077C</t>
  </si>
  <si>
    <t>Putative protein of unknown function; green fluorescent protein (GFP)-fusion protein localizes to the mitochondrion; null mutation results in a decrease in plasma membrane electron transport</t>
  </si>
  <si>
    <t>YET1</t>
  </si>
  <si>
    <t>YKL065C</t>
  </si>
  <si>
    <t>Endoplasmic reticulum transmembrane protein; may interact with ribosomes, based on co-purification experiments; homolog of human BAP31 protein; YET1 has a paralog, YET2, that arose from the whole genome duplication</t>
  </si>
  <si>
    <t>YDL072C</t>
  </si>
  <si>
    <t>Protein of unknown function; YET3 null mutant decreases the level of secreted invertase; homolog of human BAP31 protein; protein abundance increases in response to DNA replication stress</t>
  </si>
  <si>
    <t>YFH1</t>
  </si>
  <si>
    <t>YDL120W</t>
  </si>
  <si>
    <t>Mitochondrial matrix iron chaperone; oxidizes and stores iron; interacts with Isu1p to promote Fe-S cluster assembly; mutation results in multiple Fe/S-dependent enzyme deficiencies; human frataxin homolog is mutated in Friedrich's ataxia</t>
  </si>
  <si>
    <t>Putative mitochondrial transport protein; null mutant is viable, exhibits decreased levels of chitin and normal resistance to calcofluor white</t>
  </si>
  <si>
    <t>YGL024W</t>
  </si>
  <si>
    <t>Dubious open reading frame; unlikely to encode a functional protein, based on available experimental and comparative sequence data; partially/completely overlaps the verified ORF PGD1/YGL025C</t>
  </si>
  <si>
    <t>YGL041W-A</t>
  </si>
  <si>
    <t>Putative protein of unknown function; conserved in fungi; identified by expression profiling and mass spectrometry</t>
  </si>
  <si>
    <t>Putative cysteine synthase; localized to the mitochondrial outer membrane</t>
  </si>
  <si>
    <t>YGR021W</t>
  </si>
  <si>
    <t>YGR053C</t>
  </si>
  <si>
    <t>Putative protein of unknown function</t>
  </si>
  <si>
    <t>YGR130C</t>
  </si>
  <si>
    <t>Component of the eisosome with unknown function; GFP-fusion protein localizes to the cytoplasm; specifically phosphorylated in vitro by mammalian diphosphoinositol pentakisphosphate (IP7)</t>
  </si>
  <si>
    <t>YGR266W</t>
  </si>
  <si>
    <t>Protein of unknown function; predicted to contain a single transmembrane domain; mutant has increased aneuploidy tolerance; localized to both the mitochondrial outer membrane and the plasma membrane; protein abundance increases in response to DNA replication stress</t>
  </si>
  <si>
    <t>YHB1</t>
  </si>
  <si>
    <t>YGR234W</t>
  </si>
  <si>
    <t>Nitric oxide oxidoreductase; flavohemoglobin involved in nitric oxide detoxification; plays a role in the oxidative and nitrosative stress responses; protein increases in abundance and relocalizes from nucleus to cytoplasmic foci upon DNA replication stress</t>
  </si>
  <si>
    <t>YHL018W</t>
  </si>
  <si>
    <t>Putative 4a-hydroxytetrahydrobiopterin dehydratase; green fluorescent protein (GFP)-fusion protein localizes to mitochondria and is induced in response to the DNA-damaging agent MMS</t>
  </si>
  <si>
    <t>YMR241W</t>
  </si>
  <si>
    <t>Citrate and oxoglutarate carrier protein; exports citrate from and imports oxoglutarate into the mitochondrion, causing net export of NADPH reducing equivalents; also associates with mt nucleoids and has a role in replication and segregation of the mt genome</t>
  </si>
  <si>
    <t>YHR097C</t>
  </si>
  <si>
    <t>Putative protein of unknown function; green fluorescent protein (GFP)-fusion protein localizes to the cytoplasm and the nucleus; YHR097C has a paralog, PAL1, that arose from the whole genome duplication</t>
  </si>
  <si>
    <t>YHR138C</t>
  </si>
  <si>
    <t>Protein of unknown function; similar to Pbi2p; double null mutant lacking Pbi2p and Yhr138cp exhibits highly fragmented vacuoles; protein abundance increases in response to DNA replication stress</t>
  </si>
  <si>
    <t>YIA6</t>
  </si>
  <si>
    <t>YIL006W</t>
  </si>
  <si>
    <t>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t>
  </si>
  <si>
    <t>Putative protein of unknown function; the authentic, non-tagged protein is detected in highly purified mitochondria in high-throughput studies; deletion confers sensitivity to 4-(N-(S-glutathionylacetyl)amino) phenylarsenoxide (GSAO)</t>
  </si>
  <si>
    <t>YIL108W</t>
  </si>
  <si>
    <t>Putative metalloendopeptidase; forms cytoplasmic foci upon DNA replication stress</t>
  </si>
  <si>
    <t>YIL156W-B</t>
  </si>
  <si>
    <t>Putative protein of unknown function; originally identified based on homology to &lt;i&gt;Ashbya gossypii&lt;/i&gt; and other related yeasts</t>
  </si>
  <si>
    <t>YIM1</t>
  </si>
  <si>
    <t>YMR152W</t>
  </si>
  <si>
    <t>Protein of unknown function; null mutant displays sensitivity to DNA damaging agents; may have a role in lipid metabolism, based on localization to lipid droplets; the authentic, non-tagged protein is detected in highly purified mitochondria in high-throughput studies; protein abundance increases in response to DNA replication stress</t>
  </si>
  <si>
    <t>YJL045W</t>
  </si>
  <si>
    <t>Minor succinate dehydrogenase isozyme; participates in oxidation of succinate and transfer of electrons to ubiquinone; induced during the diauxic shift in a Cat8p-dependent manner; YJL045W has a paralog, SDH1, that arose from the whole genome duplication</t>
  </si>
  <si>
    <t>YJL133C-A</t>
  </si>
  <si>
    <t>YJL147C</t>
  </si>
  <si>
    <t>Mitochondrial protein of unknown function; homozygous diploid deletion strain has a sporulation defect characterized by elevated dityrosine in the soluble fraction; expression induced by calcium shortage; YJL147W is a non-essential gene</t>
  </si>
  <si>
    <t>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t>
  </si>
  <si>
    <t>YPT1</t>
  </si>
  <si>
    <t>YJR003C</t>
  </si>
  <si>
    <t>Putative protein of unknown function; detected in highly purified mitochondria in high-throughput studies; predicted to be involved in ribosome biogenesis</t>
  </si>
  <si>
    <t>YJR039W</t>
  </si>
  <si>
    <t>Protein of unknown function; GFP-fusion protein is induced in response to the DNA-damaging agent MMS; the authentic, non-tagged protein is detected in highly purified mitochondria in high-throughput studies; protein abundance increases in response to DNA replication stress</t>
  </si>
  <si>
    <t>YTA12</t>
  </si>
  <si>
    <t>YJR096W</t>
  </si>
  <si>
    <t>Xylose and arabinose reductase; member of the aldo-keto reductase (AKR) family; GFP-fusion protein is induced in response to the DNA-damaging agent MMS</t>
  </si>
  <si>
    <t>YNR040W</t>
  </si>
  <si>
    <t>YJR111C</t>
  </si>
  <si>
    <t>Putative protein of unknown function; green fluorescent protein (GFP)-fusion protein localizes to the mitochondria</t>
  </si>
  <si>
    <t>YJU3</t>
  </si>
  <si>
    <t>YKL094W</t>
  </si>
  <si>
    <t>Monoglyceride lipase (MGL); functional ortholog of mammalian MGL, localizes to lipid particles and membranes, also member of the eukaryotic serine hydrolase family</t>
  </si>
  <si>
    <t>YKL023C-A</t>
  </si>
  <si>
    <t>YKL065W-A</t>
  </si>
  <si>
    <t>YKL107W</t>
  </si>
  <si>
    <t>Putative short-chain dehydrogenase/reductase; proposed to be a palmitoylated membrane protein</t>
  </si>
  <si>
    <t>Putative protein of unknown function; not required for growth of cells lacking the mitochondrial genome (null mutation does not confer a petite-negative phenotype); YKL133C has a paralog, MGR3, that arose from the whole genome duplication</t>
  </si>
  <si>
    <t>YKL151C</t>
  </si>
  <si>
    <t>NADHX dehydratase; converts (S)-NADHX to NADH in an ATP-dependent manner; homologous to Carkd in mammals, and the C-terminal domain of YjeF in E.coli; enzyme is widespread in eukaryotes, prokaryotes and archaea; YKL151C promoter contains STREs (stress response elements) and expression is induced by heat shock or methyl methanesulfonate; green fluorescent protein (GFP)-fusion protein localizes to the cytoplasm; protein abundance increases in response to DNA replication stress</t>
  </si>
  <si>
    <t>YKL162C</t>
  </si>
  <si>
    <t>Putative protein of unknown function; green fluorescent protein (GFP)-fusion protein localizes to the mitochondrion</t>
  </si>
  <si>
    <t>YKR070W</t>
  </si>
  <si>
    <t>YKT6</t>
  </si>
  <si>
    <t>YKL196C</t>
  </si>
  <si>
    <t>Vesicle membrane protein (v-SNARE) with acyltransferase activity; involved in trafficking to and within the Golgi, endocytic trafficking to the vacuole, and vacuolar fusion; membrane localization due to prenylation at the carboxy-terminus</t>
  </si>
  <si>
    <t>YLF2</t>
  </si>
  <si>
    <t>YHL014C</t>
  </si>
  <si>
    <t>Protein of unknown function; has weak similarity to E. coli GTP-binding protein gtp1; the authentic, non-tagged protein is detected in highly purified mitochondria in high-throughput studies</t>
  </si>
  <si>
    <t>YPR125W</t>
  </si>
  <si>
    <t>Mitochondrial inner membrane protein; exposed to the mitochondrial matrix; associates with mitochondrial ribosomes; NOT required for respiratory growth; homolog of human Letm1, a protein implicated in Wolf-Hirschhorn syndrome</t>
  </si>
  <si>
    <t>YLR118C</t>
  </si>
  <si>
    <t>Acyl-protein thioesterase responsible for depalmitoylation of Gpa1p; green fluorescent protein (GFP)-fusion protein localizes to both the cytoplasm and nucleus and is induced in response to the DNA-damaging agent MMS</t>
  </si>
  <si>
    <t>YLR281C</t>
  </si>
  <si>
    <t>Putative protein of unknown function; green fluorescent protein (GFP)-fusion protein localizes to mitochondria; YLR281C is not an essential gene</t>
  </si>
  <si>
    <t>YLR283W</t>
  </si>
  <si>
    <t>Putative protein of unknown function; green fluorescent protein (GFP)-fusion protein localizes to mitochondria; YLR283W is not an essential gene</t>
  </si>
  <si>
    <t>YLR290C</t>
  </si>
  <si>
    <t>Putative protein of unknown function; the authentic, non-tagged protein is detected in highly purified mitochondria in high-throughput studies; YLR290C is not an essential gene</t>
  </si>
  <si>
    <t>YLR361C-A</t>
  </si>
  <si>
    <t>YPR058W</t>
  </si>
  <si>
    <t>Putative mitochondrial inner membrane transporter; proposed role in oleate metabolism and glutamate biosynthesis; member of the mitochondrial carrier (MCF) family; localizes to vacuole in response to H2O2; YMC1 has a paralog, YMC2, that arose from the whole genome duplication</t>
  </si>
  <si>
    <t>YBR104W</t>
  </si>
  <si>
    <t>Putative mitochondrial inner membrane transporter; proposed role in oleate metabolism and glutamate biosynthesis; member of the mitochondrial carrier (MCF) family; YMC2 has a paralog, YMC1, that arose from the whole genome duplication</t>
  </si>
  <si>
    <t>YPR024W</t>
  </si>
  <si>
    <t>Catalytic subunit of the i-AAA protease complex; complex is located in the mitochondrial inner membrane; responsible for degradation of unfolded or misfolded mitochondrial gene products; serves as a nonconventional translocation motor to pull PNPase into the intermembrane space; also has a role in intermembrane space protein folding; mutation causes an elevated rate of mitochondrial turnover</t>
  </si>
  <si>
    <t>YMR302C</t>
  </si>
  <si>
    <t>Integral inner mitochondrial membrane protein; role in maintaining mitochondrial nucleoid structure and number; mutants exhibit an increased rate of mitochondrial DNA escape; shows some sequence similarity to exonucleases</t>
  </si>
  <si>
    <t>YML6</t>
  </si>
  <si>
    <t>YML025C</t>
  </si>
  <si>
    <t>Mitochondrial ribosomal protein of the large subunit; has similarity to E. coli L4 ribosomal protein and human mitoribosomal MRP-L4 protein; essential for viability, unlike most other mitoribosomal proteins</t>
  </si>
  <si>
    <t>YMR099C</t>
  </si>
  <si>
    <t>Glucose-6-phosphate 1-epimerase (hexose-6-phosphate mutarotase); likely involved in carbohydrate metabolism; GFP-fusion protein localizes to both the nucleus and cytoplasm and is induced in response to the DNA-damaging agent MMS</t>
  </si>
  <si>
    <t>YMR166C</t>
  </si>
  <si>
    <t>Predicted transporter of the mitochondrial inner membrane; has similarity to human mitochondrial ATP-Mg/Pi carriers; YMR166C is not an essential gene</t>
  </si>
  <si>
    <t>YMR209C</t>
  </si>
  <si>
    <t>Putative S-adenosylmethionine-dependent methyltransferase; YMR209C is not an essential gene</t>
  </si>
  <si>
    <t>YMR295C</t>
  </si>
  <si>
    <t>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t>
  </si>
  <si>
    <t>YMR31</t>
  </si>
  <si>
    <t>YFR049W</t>
  </si>
  <si>
    <t>Subunit of the mitochondrial alpha-ketoglutarate dehydrogenase; recruits E3 subunit (Lpd1p) to the E1-E2 (Kgd1p, Kgd2p) core; has similarity to human mitochondrial ribosomal protein MRP-S36</t>
  </si>
  <si>
    <t>YNK1</t>
  </si>
  <si>
    <t>YKL067W</t>
  </si>
  <si>
    <t>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</si>
  <si>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YNL122C</t>
  </si>
  <si>
    <t>Putative protein of unknown function; green fluorescent protein (GFP)-fusion protein localizes to mitochondria; YNL122C is not an essential gene</t>
  </si>
  <si>
    <t>YNL134C</t>
  </si>
  <si>
    <t>Protein of unknown function; similar to dehydrogenases from other model organisms; green fluorescent protein (GFP)-fusion protein localizes to both the cytoplasm and nucleus; protein abundance increases in response to DNA replication stress</t>
  </si>
  <si>
    <t>YNL194C</t>
  </si>
  <si>
    <t>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t>
  </si>
  <si>
    <t>YNL200C</t>
  </si>
  <si>
    <t>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t>
  </si>
  <si>
    <t>YNL208W</t>
  </si>
  <si>
    <t>Protein of unknown function; may interact with ribosomes, based on co-purification experiments; authentic, non-tagged protein is detected in purified mitochondria in high-throughput studies; potential orthologs found in other fungi</t>
  </si>
  <si>
    <t>YNL211C</t>
  </si>
  <si>
    <t>Putative protein of unknown function; green fluorescent protein (GFP)-fusion protein localizes to mitochondria; YNL211C is not an essential gene</t>
  </si>
  <si>
    <t>YNL247W</t>
  </si>
  <si>
    <t>Cysteinyl-tRNA synthetase; may interact with ribosomes, based on co-purification experiments</t>
  </si>
  <si>
    <t>Putative protein of unknown function; green fluorescent protein (GFP)-fusion protein localizes to the endoplasmic reticulum; YNR021W is not an essential gene</t>
  </si>
  <si>
    <t>YNR034W-A</t>
  </si>
  <si>
    <t>Putative protein of unknown function; expression is regulated by Msn2p/Msn4p; YNR034W-A has a paralog, YCR075W-A, that arose from the whole genome duplication</t>
  </si>
  <si>
    <t>YOL114C</t>
  </si>
  <si>
    <t>Putative protein of unknown function with similarity to human ICT1; has prokaryotic factors that may function in translation termination; YOL114C is not an essential gene</t>
  </si>
  <si>
    <t>YPR028W</t>
  </si>
  <si>
    <t>Membrane protein that interacts with Yip1p to mediate membrane traffic; interacts with Sey1p to maintain ER morphology; overexpression leads to cell death and accumulation of internal cell membranes; mutants have reduced phosphatidylserine transfer between the ER and mitochondria; forms ER foci upon DNA replication stress</t>
  </si>
  <si>
    <t>YOR020W-A</t>
  </si>
  <si>
    <t>Putative protein of unknown function; conserved in A. gossypii; the authentic, non-tagged protein is detected in highly purified mitochondria in high-throughput studies</t>
  </si>
  <si>
    <t>YOR022C</t>
  </si>
  <si>
    <t>Putative carboxylic ester hydrolase; similar to bovine phospholipase A1; the authentic, non-tagged protein is detected in highly purified mitochondria in high-throughput studies</t>
  </si>
  <si>
    <t>YOR1</t>
  </si>
  <si>
    <t>YGR281W</t>
  </si>
  <si>
    <t>Plasma membrane ATP-binding cassette (ABC) transporter; multidrug transporter mediates export of many different organic anions including oligomycin; homolog of human cystic fibrosis transmembrane receptor (CFTR)</t>
  </si>
  <si>
    <t>YOR131C</t>
  </si>
  <si>
    <t>Putative haloacid dehalogenase-like hydrolase; non-essential gene; overexpression causes a cell cycle delay or arrest; protein abundance increases in response to DNA replication stress</t>
  </si>
  <si>
    <t>YOR289W</t>
  </si>
  <si>
    <t>Putative protein of unknown function; transcription induced by the unfolded protein response; green fluorescent protein (GFP)-fusion protein localizes to both the cytoplasm and the nucleus</t>
  </si>
  <si>
    <t>YPL107W</t>
  </si>
  <si>
    <t>Putative protein of unknown function; green fluorescent protein (GFP)-fusion protein localizes to mitochondria; YPL107W is not an essential gene</t>
  </si>
  <si>
    <t>Putative protein of unknown function; green fluorescent protein (GFP)-fusion protein localizes to the mitochondrion; expression may be cell cycle-regulated</t>
  </si>
  <si>
    <t>Putative protein of unknown function; predicted to be palmitoylated</t>
  </si>
  <si>
    <t>YPR010C-A</t>
  </si>
  <si>
    <t>Putative protein of unknown function; conserved among Saccharomyces sensu stricto species</t>
  </si>
  <si>
    <t>Mitochondrial transporter; major substrates are adenosine 5'-phosphosulfate (APS) and 3'-phospho-adenosine 5'-phosphosulfate (PAPS); member of the mitochondrial carrier family; the authentic, non-tagged protein is detected in highly purified mitochondria in high-throughput studies</t>
  </si>
  <si>
    <t>YPS1</t>
  </si>
  <si>
    <t>YLR120C</t>
  </si>
  <si>
    <t>Aspartic protease; member of the yapsin family of proteases involved in cell wall growth and maintenance; attached to the plasma membrane via a glycosylphosphatidylinositol (GPI) anchor; YPS1 has a paralog, MKC7, that arose from the whole genome duplication</t>
  </si>
  <si>
    <t>YFL038C</t>
  </si>
  <si>
    <t>Rab family GTPase; involved in the ER-to-Golgi step of the secretory pathway; complex formation with the Rab escort protein Mrs6p is required for prenylation of Ypt1p by protein geranylgeranyltransferase type II (Bet2p-Bet4p); binds to unspliced HAC1 mRNA; regulates unfolded protein response (UPR) by promoting the decay of HAC1 RNA</t>
  </si>
  <si>
    <t>YER031C</t>
  </si>
  <si>
    <t>Rab family GTPase; involved in the exocytic pathway; mediates intra-Golgi traffic or the budding of post-Golgi vesicles from the trans-Golgi; YPT31 has a paralog, YPT32, that arose from the whole genome duplication</t>
  </si>
  <si>
    <t>YGL210W</t>
  </si>
  <si>
    <t>Rab family GTPase involved in the exocytic pathway; mediates intra-Golgi traffic or the budding of post-Golgi vesicles from the trans-Golgi; protein abundance increases in response to DNA replication stress; YPT32 has a paralog, YPT31, that arose from the whole genome duplication</t>
  </si>
  <si>
    <t>YKR014C</t>
  </si>
  <si>
    <t>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t>
  </si>
  <si>
    <t>YML001W</t>
  </si>
  <si>
    <t>Rab family GTPase; GTP-binding protein of the rab family; required for homotypic fusion event in vacuole inheritance, for endosome-endosome fusion; interacts with the cargo selection/retromer complex for retrograde sorting; similar to mammalian Rab7</t>
  </si>
  <si>
    <t>YBR054W</t>
  </si>
  <si>
    <t>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t>
  </si>
  <si>
    <t>YSA1</t>
  </si>
  <si>
    <t>YBR111C</t>
  </si>
  <si>
    <t>Nudix hydrolase family member with ADP-ribose pyrophosphatase activity; shown to metabolize O-acetyl-ADP-ribose to AMP and acetylated ribose 5'-phosphate</t>
  </si>
  <si>
    <t>YHR017W</t>
  </si>
  <si>
    <t>Non-essential mitochondrial protein of unknown function; mRNA induced during meiosis, peaking between mid to late prophase of meiosis I; similar to S. douglasii YSD83</t>
  </si>
  <si>
    <t>YMR089C</t>
  </si>
  <si>
    <t>Mitochondrial inner membrane m-AAA protease component; mediates degradation of misfolded or unassembled proteins; also required for correct assembly of mitochondrial enzyme complexes</t>
  </si>
  <si>
    <t>ZEO1</t>
  </si>
  <si>
    <t>YOL109W</t>
  </si>
  <si>
    <t>Peripheral membrane protein of the plasma membrane; interacts with Mid2p; regulates the cell integrity pathway mediated by Pkc1p and Slt2p; the authentic protein is detected in a phosphorylated state in highly purified mitochondria</t>
  </si>
  <si>
    <t>ZIM17</t>
  </si>
  <si>
    <t>YNL310C</t>
  </si>
  <si>
    <t>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t>
  </si>
  <si>
    <t>ZTA1</t>
  </si>
  <si>
    <t>YBR046C</t>
  </si>
  <si>
    <t>NADPH-dependent quinone reductase; GFP-tagged protein localizes to the cytoplasm and nucleus; has similarity to E. coli quinone oxidoreductase and to human zeta-crystallin</t>
  </si>
  <si>
    <t>max</t>
  </si>
  <si>
    <r>
      <rPr>
        <b/>
        <sz val="11"/>
        <color indexed="8"/>
        <rFont val="Symbol"/>
        <family val="1"/>
        <charset val="2"/>
      </rPr>
      <t xml:space="preserve">L </t>
    </r>
    <r>
      <rPr>
        <b/>
        <sz val="11"/>
        <color indexed="8"/>
        <rFont val="Calibri"/>
        <family val="2"/>
      </rPr>
      <t>sol</t>
    </r>
  </si>
  <si>
    <r>
      <rPr>
        <b/>
        <sz val="11"/>
        <color indexed="8"/>
        <rFont val="Symbol"/>
        <family val="1"/>
        <charset val="2"/>
      </rPr>
      <t>L</t>
    </r>
    <r>
      <rPr>
        <b/>
        <sz val="11"/>
        <color indexed="8"/>
        <rFont val="Calibri"/>
        <family val="2"/>
      </rPr>
      <t xml:space="preserve"> per</t>
    </r>
  </si>
  <si>
    <r>
      <rPr>
        <b/>
        <sz val="11"/>
        <color indexed="8"/>
        <rFont val="Symbol"/>
        <family val="1"/>
        <charset val="2"/>
      </rPr>
      <t xml:space="preserve">L </t>
    </r>
    <r>
      <rPr>
        <b/>
        <sz val="11"/>
        <color indexed="8"/>
        <rFont val="Calibri"/>
        <family val="2"/>
      </rPr>
      <t>int</t>
    </r>
  </si>
  <si>
    <t>gene</t>
  </si>
  <si>
    <t>https://www.nature.com/articles/s41467-017-00359-0#Sec24 Landscape of submitochondrial protein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</si>
</sst>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indexed="8"/>
      <name val="Calibri"/>
      <family val="2"/>
    </font>
    <font>
      <sz val="11"/>
      <color theme="1"/>
      <name val="Calibri"/>
      <family val="2"/>
      <scheme val="minor"/>
    </font>
    <font>
      <b/>
      <sz val="12"/>
      <name val="Calibri"/>
      <family val="2"/>
    </font>
    <font>
      <b/>
      <sz val="11"/>
      <name val="Calibri"/>
      <family val="2"/>
    </font>
    <font>
      <b/>
      <i/>
      <sz val="12"/>
      <color indexed="8"/>
      <name val="Calibri"/>
      <family val="2"/>
    </font>
    <font>
      <sz val="11"/>
      <color rgb="FFFF0000"/>
      <name val="Calibri"/>
      <family val="2"/>
    </font>
    <font>
      <sz val="11"/>
      <color indexed="8"/>
      <name val="Calibri"/>
      <family val="2"/>
    </font>
    <font>
      <b/>
      <sz val="11"/>
      <color indexed="8"/>
      <name val="Calibri"/>
      <family val="2"/>
    </font>
    <font>
      <b/>
      <sz val="11"/>
      <color indexed="8"/>
      <name val="Symbol"/>
      <family val="1"/>
      <charset val="2"/>
    </font>
    <font>
      <sz val="11"/>
      <name val="Calibri"/>
      <family val="2"/>
    </font>
    <font>
      <b/>
      <i/>
      <sz val="12"/>
      <name val="Calibri"/>
      <family val="2"/>
    </font>
    <font>
      <u/>
      <sz val="11"/>
      <color theme="10"/>
      <name val="Calibri"/>
      <family val="2"/>
    </font>
  </fonts>
  <fills count="3">
    <fill>
      <patternFill patternType="none"/>
    </fill>
    <fill>
      <patternFill patternType="gray125"/>
    </fill>
    <fill>
      <patternFill patternType="solid">
        <fgColor theme="0" tint="-0.14999847407452621"/>
        <bgColor indexed="64"/>
      </patternFill>
    </fill>
  </fills>
  <borders count="22">
    <border>
      <left/>
      <right/>
      <top/>
      <bottom/>
      <diagonal/>
    </border>
    <border>
      <left/>
      <right/>
      <top/>
      <bottom style="thick">
        <color auto="1"/>
      </bottom>
      <diagonal/>
    </border>
    <border>
      <left style="thick">
        <color auto="1"/>
      </left>
      <right style="thin">
        <color indexed="22"/>
      </right>
      <top style="thick">
        <color auto="1"/>
      </top>
      <bottom style="thick">
        <color auto="1"/>
      </bottom>
      <diagonal/>
    </border>
    <border>
      <left/>
      <right style="thin">
        <color indexed="22"/>
      </right>
      <top style="thick">
        <color auto="1"/>
      </top>
      <bottom style="thick">
        <color auto="1"/>
      </bottom>
      <diagonal/>
    </border>
    <border>
      <left style="thin">
        <color indexed="22"/>
      </left>
      <right/>
      <top style="thick">
        <color auto="1"/>
      </top>
      <bottom style="thick">
        <color auto="1"/>
      </bottom>
      <diagonal/>
    </border>
    <border>
      <left style="thin">
        <color indexed="22"/>
      </left>
      <right style="thin">
        <color indexed="22"/>
      </right>
      <top style="thick">
        <color auto="1"/>
      </top>
      <bottom style="thick">
        <color auto="1"/>
      </bottom>
      <diagonal/>
    </border>
    <border>
      <left/>
      <right/>
      <top style="thick">
        <color auto="1"/>
      </top>
      <bottom style="thick">
        <color auto="1"/>
      </bottom>
      <diagonal/>
    </border>
    <border>
      <left style="thick">
        <color auto="1"/>
      </left>
      <right/>
      <top style="thick">
        <color auto="1"/>
      </top>
      <bottom style="thick">
        <color auto="1"/>
      </bottom>
      <diagonal/>
    </border>
    <border>
      <left style="thin">
        <color auto="1"/>
      </left>
      <right style="thin">
        <color auto="1"/>
      </right>
      <top style="thick">
        <color auto="1"/>
      </top>
      <bottom style="thick">
        <color auto="1"/>
      </bottom>
      <diagonal/>
    </border>
    <border>
      <left style="thick">
        <color auto="1"/>
      </left>
      <right style="thin">
        <color auto="1"/>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top style="thick">
        <color auto="1"/>
      </top>
      <bottom/>
      <diagonal/>
    </border>
    <border>
      <left style="thin">
        <color indexed="22"/>
      </left>
      <right style="thin">
        <color indexed="22"/>
      </right>
      <top style="thick">
        <color auto="1"/>
      </top>
      <bottom style="thin">
        <color indexed="22"/>
      </bottom>
      <diagonal/>
    </border>
    <border>
      <left/>
      <right style="thick">
        <color auto="1"/>
      </right>
      <top style="thick">
        <color auto="1"/>
      </top>
      <bottom/>
      <diagonal/>
    </border>
    <border>
      <left style="thick">
        <color auto="1"/>
      </left>
      <right/>
      <top/>
      <bottom/>
      <diagonal/>
    </border>
    <border>
      <left style="thin">
        <color indexed="22"/>
      </left>
      <right style="thin">
        <color indexed="22"/>
      </right>
      <top/>
      <bottom style="thin">
        <color indexed="22"/>
      </bottom>
      <diagonal/>
    </border>
    <border>
      <left/>
      <right style="thick">
        <color auto="1"/>
      </right>
      <top/>
      <bottom/>
      <diagonal/>
    </border>
    <border>
      <left style="thin">
        <color indexed="22"/>
      </left>
      <right style="thin">
        <color indexed="22"/>
      </right>
      <top/>
      <bottom/>
      <diagonal/>
    </border>
    <border>
      <left style="thick">
        <color auto="1"/>
      </left>
      <right/>
      <top/>
      <bottom style="thick">
        <color auto="1"/>
      </bottom>
      <diagonal/>
    </border>
    <border>
      <left style="thin">
        <color indexed="22"/>
      </left>
      <right style="thin">
        <color indexed="22"/>
      </right>
      <top/>
      <bottom style="thick">
        <color auto="1"/>
      </bottom>
      <diagonal/>
    </border>
    <border>
      <left/>
      <right style="thick">
        <color auto="1"/>
      </right>
      <top/>
      <bottom style="thick">
        <color auto="1"/>
      </bottom>
      <diagonal/>
    </border>
  </borders>
  <cellStyleXfs count="5">
    <xf numFmtId="0" fontId="0" fillId="0" borderId="0"/>
    <xf numFmtId="9" fontId="6" fillId="0" borderId="0" applyFont="0" applyFill="0" applyBorder="0" applyAlignment="0" applyProtection="0"/>
    <xf numFmtId="0" fontId="1" fillId="0" borderId="0"/>
    <xf numFmtId="9" fontId="1" fillId="0" borderId="0" applyFont="0" applyFill="0" applyBorder="0" applyAlignment="0" applyProtection="0"/>
    <xf numFmtId="0" fontId="11" fillId="0" borderId="0" applyNumberFormat="0" applyFill="0" applyBorder="0" applyAlignment="0" applyProtection="0"/>
  </cellStyleXfs>
  <cellXfs count="51">
    <xf numFmtId="0" fontId="0" fillId="0" borderId="0" xfId="0"/>
    <xf numFmtId="2" fontId="0" fillId="0" borderId="0" xfId="0" applyNumberFormat="1" applyAlignment="1">
      <alignment horizontal="center"/>
    </xf>
    <xf numFmtId="0" fontId="0" fillId="0" borderId="0" xfId="0" applyAlignment="1">
      <alignment horizontal="center"/>
    </xf>
    <xf numFmtId="0" fontId="2" fillId="2" borderId="2" xfId="0" applyFont="1" applyFill="1" applyBorder="1" applyAlignment="1">
      <alignment horizontal="left" vertical="center" indent="1"/>
    </xf>
    <xf numFmtId="0" fontId="2" fillId="2" borderId="3" xfId="0" applyFont="1" applyFill="1" applyBorder="1" applyAlignment="1">
      <alignment horizontal="left" vertical="center" indent="1"/>
    </xf>
    <xf numFmtId="2" fontId="2" fillId="2" borderId="4" xfId="0" applyNumberFormat="1" applyFont="1" applyFill="1" applyBorder="1" applyAlignment="1">
      <alignment horizontal="center" vertical="center" wrapText="1"/>
    </xf>
    <xf numFmtId="2" fontId="2" fillId="2" borderId="5" xfId="0" applyNumberFormat="1" applyFont="1" applyFill="1" applyBorder="1" applyAlignment="1">
      <alignment horizontal="center" vertical="center" wrapText="1"/>
    </xf>
    <xf numFmtId="11" fontId="2" fillId="2" borderId="6" xfId="0" applyNumberFormat="1"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xf>
    <xf numFmtId="0" fontId="0" fillId="0" borderId="11" xfId="0" applyBorder="1" applyAlignment="1">
      <alignment horizontal="left" indent="1"/>
    </xf>
    <xf numFmtId="0" fontId="0" fillId="0" borderId="12" xfId="0" applyBorder="1" applyAlignment="1">
      <alignment horizontal="left" indent="1"/>
    </xf>
    <xf numFmtId="2" fontId="0" fillId="0" borderId="13" xfId="0" applyNumberFormat="1" applyBorder="1" applyAlignment="1">
      <alignment horizontal="center"/>
    </xf>
    <xf numFmtId="2" fontId="0" fillId="0" borderId="12"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15" xfId="0" applyBorder="1" applyAlignment="1">
      <alignment horizontal="left" indent="1"/>
    </xf>
    <xf numFmtId="0" fontId="0" fillId="0" borderId="0" xfId="0" applyAlignment="1">
      <alignment horizontal="left" indent="1"/>
    </xf>
    <xf numFmtId="2" fontId="0" fillId="0" borderId="16" xfId="0" applyNumberFormat="1"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2" fontId="0" fillId="0" borderId="16" xfId="0" quotePrefix="1" applyNumberFormat="1" applyBorder="1" applyAlignment="1">
      <alignment horizontal="center"/>
    </xf>
    <xf numFmtId="0" fontId="5" fillId="0" borderId="15" xfId="0" applyFont="1" applyBorder="1" applyAlignment="1">
      <alignment horizontal="center"/>
    </xf>
    <xf numFmtId="2" fontId="0" fillId="0" borderId="18" xfId="0" applyNumberFormat="1" applyBorder="1" applyAlignment="1">
      <alignment horizontal="center"/>
    </xf>
    <xf numFmtId="0" fontId="0" fillId="0" borderId="19" xfId="0" applyBorder="1" applyAlignment="1">
      <alignment horizontal="left" indent="1"/>
    </xf>
    <xf numFmtId="0" fontId="0" fillId="0" borderId="1" xfId="0" applyBorder="1" applyAlignment="1">
      <alignment horizontal="left" indent="1"/>
    </xf>
    <xf numFmtId="2" fontId="0" fillId="0" borderId="20" xfId="0" applyNumberFormat="1" applyBorder="1" applyAlignment="1">
      <alignment horizontal="center"/>
    </xf>
    <xf numFmtId="2" fontId="0" fillId="0" borderId="1" xfId="0" applyNumberFormat="1" applyBorder="1" applyAlignment="1">
      <alignment horizontal="center"/>
    </xf>
    <xf numFmtId="0" fontId="0" fillId="0" borderId="19" xfId="0" applyBorder="1" applyAlignment="1">
      <alignment horizontal="center"/>
    </xf>
    <xf numFmtId="0" fontId="0" fillId="0" borderId="1" xfId="0" applyBorder="1" applyAlignment="1">
      <alignment horizontal="center"/>
    </xf>
    <xf numFmtId="164" fontId="0" fillId="0" borderId="0" xfId="0" applyNumberFormat="1" applyAlignment="1">
      <alignment horizontal="center"/>
    </xf>
    <xf numFmtId="0" fontId="0" fillId="0" borderId="21" xfId="0" applyBorder="1" applyAlignment="1">
      <alignment horizontal="center"/>
    </xf>
    <xf numFmtId="9" fontId="0" fillId="0" borderId="0" xfId="0" applyNumberFormat="1" applyAlignment="1">
      <alignment horizontal="center"/>
    </xf>
    <xf numFmtId="2" fontId="0" fillId="0" borderId="0" xfId="1" applyNumberFormat="1" applyFont="1" applyFill="1" applyAlignment="1">
      <alignment horizont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6" xfId="0" applyFont="1" applyFill="1" applyBorder="1" applyAlignment="1">
      <alignment horizontal="center" vertical="center"/>
    </xf>
    <xf numFmtId="0" fontId="9" fillId="0" borderId="11"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9" fillId="0" borderId="0" xfId="0" applyFont="1" applyAlignment="1">
      <alignment horizontal="center"/>
    </xf>
    <xf numFmtId="0" fontId="9" fillId="0" borderId="17" xfId="0" applyFont="1" applyBorder="1" applyAlignment="1">
      <alignment horizontal="center"/>
    </xf>
    <xf numFmtId="0" fontId="9" fillId="0" borderId="19" xfId="0" applyFont="1" applyBorder="1" applyAlignment="1">
      <alignment horizontal="center"/>
    </xf>
    <xf numFmtId="0" fontId="9" fillId="0" borderId="1" xfId="0" applyFont="1" applyBorder="1" applyAlignment="1">
      <alignment horizontal="center"/>
    </xf>
    <xf numFmtId="0" fontId="9" fillId="0" borderId="21" xfId="0" applyFont="1" applyBorder="1" applyAlignment="1">
      <alignment horizontal="center"/>
    </xf>
    <xf numFmtId="0" fontId="5" fillId="0" borderId="15" xfId="0" quotePrefix="1" applyFont="1" applyBorder="1" applyAlignment="1">
      <alignment horizontal="center"/>
    </xf>
    <xf numFmtId="0" fontId="5" fillId="0" borderId="0" xfId="0" applyFont="1" applyAlignment="1">
      <alignment horizontal="center"/>
    </xf>
    <xf numFmtId="0" fontId="11" fillId="0" borderId="0" xfId="4"/>
  </cellXfs>
  <cellStyles count="5">
    <cellStyle name="Hyperlink" xfId="4" builtinId="8"/>
    <cellStyle name="Normal" xfId="0" builtinId="0"/>
    <cellStyle name="Per cent" xfId="1" builtinId="5"/>
    <cellStyle name="Prozent 2" xfId="3" xr:uid="{00000000-0005-0000-0000-000002000000}"/>
    <cellStyle name="Standard 2" xfId="2" xr:uid="{00000000-0005-0000-0000-00000300000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nature.com/articles/s41467-017-0035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89"/>
  <sheetViews>
    <sheetView workbookViewId="0">
      <pane ySplit="1" topLeftCell="A860" activePane="bottomLeft" state="frozen"/>
      <selection pane="bottomLeft" activeCell="A989" sqref="A989:XFD990"/>
    </sheetView>
  </sheetViews>
  <sheetFormatPr baseColWidth="10" defaultColWidth="10.83203125" defaultRowHeight="15" x14ac:dyDescent="0.2"/>
  <cols>
    <col min="1" max="1" width="12.6640625" style="19" bestFit="1" customWidth="1"/>
    <col min="2" max="2" width="12.5" style="19" bestFit="1" customWidth="1"/>
    <col min="3" max="3" width="34.83203125" style="19" customWidth="1"/>
    <col min="4" max="5" width="14.83203125" style="1" customWidth="1"/>
    <col min="6" max="6" width="13" style="32" customWidth="1"/>
    <col min="7" max="10" width="12" style="43" customWidth="1"/>
    <col min="11" max="13" width="10.83203125" style="1"/>
    <col min="14" max="17" width="11.5" style="2" customWidth="1"/>
    <col min="21" max="21" width="0" style="2" hidden="1" customWidth="1"/>
    <col min="22" max="16384" width="10.83203125" style="2"/>
  </cols>
  <sheetData>
    <row r="1" spans="1:21" ht="60" customHeight="1" thickTop="1" thickBot="1" x14ac:dyDescent="0.25">
      <c r="A1" s="3" t="s">
        <v>0</v>
      </c>
      <c r="B1" s="4" t="s">
        <v>2847</v>
      </c>
      <c r="C1" s="4" t="s">
        <v>1</v>
      </c>
      <c r="D1" s="5" t="s">
        <v>2</v>
      </c>
      <c r="E1" s="6" t="s">
        <v>3</v>
      </c>
      <c r="F1" s="7" t="s">
        <v>4</v>
      </c>
      <c r="G1" s="36" t="s">
        <v>5</v>
      </c>
      <c r="H1" s="37" t="s">
        <v>6</v>
      </c>
      <c r="I1" s="37" t="s">
        <v>7</v>
      </c>
      <c r="J1" s="38" t="s">
        <v>8</v>
      </c>
      <c r="K1" s="8" t="s">
        <v>2844</v>
      </c>
      <c r="L1" s="9" t="s">
        <v>2845</v>
      </c>
      <c r="M1" s="10" t="s">
        <v>2846</v>
      </c>
      <c r="N1" s="8" t="s">
        <v>9</v>
      </c>
      <c r="O1" s="9" t="s">
        <v>10</v>
      </c>
      <c r="P1" s="9" t="s">
        <v>11</v>
      </c>
      <c r="Q1" s="10" t="s">
        <v>12</v>
      </c>
      <c r="R1" s="2"/>
      <c r="S1" s="2"/>
      <c r="T1" s="2"/>
      <c r="U1" s="2" t="s">
        <v>2843</v>
      </c>
    </row>
    <row r="2" spans="1:21" ht="16" thickTop="1" x14ac:dyDescent="0.2">
      <c r="A2" s="11" t="s">
        <v>13</v>
      </c>
      <c r="B2" s="12" t="s">
        <v>14</v>
      </c>
      <c r="C2" s="12" t="s">
        <v>15</v>
      </c>
      <c r="D2" s="13">
        <v>0.17951043675</v>
      </c>
      <c r="E2" s="13">
        <v>6.7598012666666665E-2</v>
      </c>
      <c r="F2" s="14">
        <v>0</v>
      </c>
      <c r="G2" s="39"/>
      <c r="H2" s="40"/>
      <c r="I2" s="40" t="s">
        <v>187</v>
      </c>
      <c r="J2" s="41"/>
      <c r="K2" s="35">
        <v>0</v>
      </c>
      <c r="L2" s="35">
        <v>0</v>
      </c>
      <c r="M2" s="35">
        <v>0.91359999999999997</v>
      </c>
      <c r="N2" s="15"/>
      <c r="O2" s="16" t="s">
        <v>187</v>
      </c>
      <c r="P2" s="16"/>
      <c r="Q2" s="17"/>
      <c r="R2" s="2"/>
      <c r="S2" s="2"/>
      <c r="T2" s="2"/>
      <c r="U2" s="34">
        <f t="shared" ref="U2:U65" si="0">MAX(K2:M2)</f>
        <v>0.91359999999999997</v>
      </c>
    </row>
    <row r="3" spans="1:21" x14ac:dyDescent="0.2">
      <c r="A3" s="18" t="s">
        <v>16</v>
      </c>
      <c r="B3" s="19" t="s">
        <v>17</v>
      </c>
      <c r="C3" s="19" t="s">
        <v>18</v>
      </c>
      <c r="D3" s="20">
        <v>1.1927137462499999</v>
      </c>
      <c r="E3" s="20">
        <v>9.9584847014999998</v>
      </c>
      <c r="F3" s="1">
        <v>0.18594357087875019</v>
      </c>
      <c r="G3" s="42"/>
      <c r="H3" s="43" t="s">
        <v>187</v>
      </c>
      <c r="J3" s="44"/>
      <c r="K3" s="35">
        <v>1.2999999999999999E-3</v>
      </c>
      <c r="L3" s="35">
        <v>0.9637</v>
      </c>
      <c r="M3" s="35">
        <v>2.9999999999999997E-4</v>
      </c>
      <c r="N3" s="21"/>
      <c r="O3" s="2" t="s">
        <v>187</v>
      </c>
      <c r="Q3" s="22"/>
      <c r="R3" s="2"/>
      <c r="S3" s="2"/>
      <c r="T3" s="2"/>
      <c r="U3" s="34">
        <f t="shared" si="0"/>
        <v>0.9637</v>
      </c>
    </row>
    <row r="4" spans="1:21" x14ac:dyDescent="0.2">
      <c r="A4" s="18" t="s">
        <v>19</v>
      </c>
      <c r="B4" s="19" t="s">
        <v>20</v>
      </c>
      <c r="C4" s="19" t="s">
        <v>21</v>
      </c>
      <c r="D4" s="20">
        <v>3.3232374816666663</v>
      </c>
      <c r="E4" s="20">
        <v>4.1563999999999997</v>
      </c>
      <c r="F4" s="1">
        <v>17.491400240329696</v>
      </c>
      <c r="G4" s="42"/>
      <c r="J4" s="44" t="s">
        <v>187</v>
      </c>
      <c r="K4" s="35">
        <v>1.95E-2</v>
      </c>
      <c r="L4" s="35">
        <v>2.9600000000000001E-2</v>
      </c>
      <c r="M4" s="35">
        <v>0</v>
      </c>
      <c r="N4" s="21"/>
      <c r="Q4" s="22"/>
      <c r="R4" s="2"/>
      <c r="S4" s="2"/>
      <c r="T4" s="2"/>
      <c r="U4" s="34">
        <f t="shared" si="0"/>
        <v>2.9600000000000001E-2</v>
      </c>
    </row>
    <row r="5" spans="1:21" ht="15" customHeight="1" x14ac:dyDescent="0.2">
      <c r="A5" s="18" t="s">
        <v>22</v>
      </c>
      <c r="B5" s="19" t="s">
        <v>23</v>
      </c>
      <c r="C5" s="19" t="s">
        <v>24</v>
      </c>
      <c r="D5" s="20">
        <v>19.440580687500002</v>
      </c>
      <c r="E5" s="20">
        <v>21.673755534999998</v>
      </c>
      <c r="F5" s="1">
        <v>0.79456753332234165</v>
      </c>
      <c r="G5" s="42" t="s">
        <v>187</v>
      </c>
      <c r="J5" s="44"/>
      <c r="K5" s="35">
        <v>0.97609999999999997</v>
      </c>
      <c r="L5" s="35">
        <v>2.0000000000000001E-4</v>
      </c>
      <c r="M5" s="35">
        <v>0</v>
      </c>
      <c r="N5" s="21"/>
      <c r="Q5" s="22" t="s">
        <v>187</v>
      </c>
      <c r="R5" s="2"/>
      <c r="S5" s="2"/>
      <c r="T5" s="2"/>
      <c r="U5" s="34">
        <f t="shared" si="0"/>
        <v>0.97609999999999997</v>
      </c>
    </row>
    <row r="6" spans="1:21" x14ac:dyDescent="0.2">
      <c r="A6" s="18" t="s">
        <v>25</v>
      </c>
      <c r="B6" s="19" t="s">
        <v>26</v>
      </c>
      <c r="C6" s="19" t="s">
        <v>27</v>
      </c>
      <c r="D6" s="20">
        <v>24.973281085</v>
      </c>
      <c r="E6" s="20">
        <v>17.978892590000001</v>
      </c>
      <c r="F6" s="1">
        <v>0.45482387733990254</v>
      </c>
      <c r="G6" s="42" t="s">
        <v>187</v>
      </c>
      <c r="J6" s="44"/>
      <c r="K6" s="35">
        <v>0.96160000000000001</v>
      </c>
      <c r="L6" s="35">
        <v>0</v>
      </c>
      <c r="M6" s="35">
        <v>0</v>
      </c>
      <c r="N6" s="21"/>
      <c r="Q6" s="22" t="s">
        <v>187</v>
      </c>
      <c r="R6" s="2"/>
      <c r="S6" s="2"/>
      <c r="T6" s="2"/>
      <c r="U6" s="34">
        <f t="shared" si="0"/>
        <v>0.96160000000000001</v>
      </c>
    </row>
    <row r="7" spans="1:21" x14ac:dyDescent="0.2">
      <c r="A7" s="18" t="s">
        <v>28</v>
      </c>
      <c r="B7" s="19" t="s">
        <v>29</v>
      </c>
      <c r="C7" s="19" t="s">
        <v>30</v>
      </c>
      <c r="D7" s="20">
        <v>16.203633010000001</v>
      </c>
      <c r="E7" s="20">
        <v>20.990146279999998</v>
      </c>
      <c r="F7" s="1">
        <v>0.49076191648641226</v>
      </c>
      <c r="G7" s="42" t="s">
        <v>187</v>
      </c>
      <c r="J7" s="44"/>
      <c r="K7" s="35">
        <v>0.98170000000000002</v>
      </c>
      <c r="L7" s="35">
        <v>5.0000000000000001E-4</v>
      </c>
      <c r="M7" s="35">
        <v>0</v>
      </c>
      <c r="N7" s="21"/>
      <c r="Q7" s="22" t="s">
        <v>187</v>
      </c>
      <c r="R7" s="2"/>
      <c r="S7" s="2"/>
      <c r="T7" s="2"/>
      <c r="U7" s="34">
        <f t="shared" si="0"/>
        <v>0.98170000000000002</v>
      </c>
    </row>
    <row r="8" spans="1:21" x14ac:dyDescent="0.2">
      <c r="A8" s="18" t="s">
        <v>31</v>
      </c>
      <c r="B8" s="19" t="s">
        <v>32</v>
      </c>
      <c r="C8" s="19" t="s">
        <v>33</v>
      </c>
      <c r="D8" s="20">
        <v>10.173965965000001</v>
      </c>
      <c r="E8" s="20">
        <v>17.883572179999998</v>
      </c>
      <c r="F8" s="1">
        <v>0.37352685578634492</v>
      </c>
      <c r="G8" s="42" t="s">
        <v>187</v>
      </c>
      <c r="J8" s="44"/>
      <c r="K8" s="35">
        <v>0.98429999999999995</v>
      </c>
      <c r="L8" s="35">
        <v>2.3999999999999998E-3</v>
      </c>
      <c r="M8" s="35">
        <v>0</v>
      </c>
      <c r="N8" s="21"/>
      <c r="Q8" s="22" t="s">
        <v>187</v>
      </c>
      <c r="R8" s="2"/>
      <c r="S8" s="2"/>
      <c r="T8" s="2"/>
      <c r="U8" s="34">
        <f t="shared" si="0"/>
        <v>0.98429999999999995</v>
      </c>
    </row>
    <row r="9" spans="1:21" x14ac:dyDescent="0.2">
      <c r="A9" s="18" t="s">
        <v>34</v>
      </c>
      <c r="B9" s="19" t="s">
        <v>35</v>
      </c>
      <c r="C9" s="19" t="s">
        <v>36</v>
      </c>
      <c r="D9" s="20">
        <v>7.2250631359999993</v>
      </c>
      <c r="E9" s="20">
        <v>23.3120148</v>
      </c>
      <c r="F9" s="1">
        <v>0.60488085989016882</v>
      </c>
      <c r="G9" s="42" t="s">
        <v>187</v>
      </c>
      <c r="J9" s="44"/>
      <c r="K9" s="35">
        <v>0.94779999999999998</v>
      </c>
      <c r="L9" s="35">
        <v>3.1300000000000001E-2</v>
      </c>
      <c r="M9" s="35">
        <v>0</v>
      </c>
      <c r="N9" s="21"/>
      <c r="Q9" s="22" t="s">
        <v>187</v>
      </c>
      <c r="R9" s="2"/>
      <c r="S9" s="2"/>
      <c r="T9" s="2"/>
      <c r="U9" s="34">
        <f t="shared" si="0"/>
        <v>0.94779999999999998</v>
      </c>
    </row>
    <row r="10" spans="1:21" x14ac:dyDescent="0.2">
      <c r="A10" s="18" t="s">
        <v>37</v>
      </c>
      <c r="B10" s="19" t="s">
        <v>38</v>
      </c>
      <c r="C10" s="19" t="s">
        <v>39</v>
      </c>
      <c r="D10" s="20">
        <v>0.28338245299999998</v>
      </c>
      <c r="E10" s="20">
        <v>2.5273783180000002</v>
      </c>
      <c r="F10" s="1">
        <v>643.21324566410237</v>
      </c>
      <c r="G10" s="42"/>
      <c r="I10" s="43" t="s">
        <v>187</v>
      </c>
      <c r="J10" s="44"/>
      <c r="K10" s="35">
        <v>0</v>
      </c>
      <c r="L10" s="35">
        <v>0.2732</v>
      </c>
      <c r="M10" s="35">
        <v>0.5534</v>
      </c>
      <c r="N10" s="21"/>
      <c r="O10" s="2" t="s">
        <v>187</v>
      </c>
      <c r="Q10" s="22"/>
      <c r="R10" s="2"/>
      <c r="S10" s="2"/>
      <c r="T10" s="2"/>
      <c r="U10" s="34">
        <f t="shared" si="0"/>
        <v>0.5534</v>
      </c>
    </row>
    <row r="11" spans="1:21" x14ac:dyDescent="0.2">
      <c r="A11" s="18" t="s">
        <v>40</v>
      </c>
      <c r="B11" s="19" t="s">
        <v>41</v>
      </c>
      <c r="C11" s="19" t="s">
        <v>42</v>
      </c>
      <c r="D11" s="20">
        <v>0.64630574175</v>
      </c>
      <c r="E11" s="20">
        <v>2.8505743363333331</v>
      </c>
      <c r="F11" s="1">
        <v>55.162663363367017</v>
      </c>
      <c r="G11" s="42"/>
      <c r="J11" s="44" t="s">
        <v>187</v>
      </c>
      <c r="K11" s="35">
        <v>0</v>
      </c>
      <c r="L11" s="35">
        <v>0.3</v>
      </c>
      <c r="M11" s="35">
        <v>0.41260000000000002</v>
      </c>
      <c r="N11" s="21"/>
      <c r="Q11" s="22"/>
      <c r="R11" s="2"/>
      <c r="S11" s="2"/>
      <c r="T11" s="2"/>
      <c r="U11" s="34">
        <f t="shared" si="0"/>
        <v>0.41260000000000002</v>
      </c>
    </row>
    <row r="12" spans="1:21" x14ac:dyDescent="0.2">
      <c r="A12" s="18" t="s">
        <v>43</v>
      </c>
      <c r="B12" s="19" t="s">
        <v>44</v>
      </c>
      <c r="C12" s="19" t="s">
        <v>45</v>
      </c>
      <c r="D12" s="23" t="s">
        <v>46</v>
      </c>
      <c r="E12" s="20">
        <v>0.61658000000000002</v>
      </c>
      <c r="F12" s="1" t="s">
        <v>47</v>
      </c>
      <c r="G12" s="42"/>
      <c r="I12" s="49" t="s">
        <v>187</v>
      </c>
      <c r="J12" s="44"/>
      <c r="K12" s="35" t="e">
        <v>#N/A</v>
      </c>
      <c r="L12" s="35" t="e">
        <v>#N/A</v>
      </c>
      <c r="M12" s="35" t="e">
        <v>#N/A</v>
      </c>
      <c r="N12" s="21"/>
      <c r="O12" s="2" t="s">
        <v>187</v>
      </c>
      <c r="Q12" s="22"/>
      <c r="R12" s="2"/>
      <c r="S12" s="2"/>
      <c r="T12" s="2"/>
      <c r="U12" s="34" t="e">
        <f t="shared" si="0"/>
        <v>#N/A</v>
      </c>
    </row>
    <row r="13" spans="1:21" x14ac:dyDescent="0.2">
      <c r="A13" s="18" t="s">
        <v>48</v>
      </c>
      <c r="B13" s="19" t="s">
        <v>49</v>
      </c>
      <c r="C13" s="19" t="s">
        <v>50</v>
      </c>
      <c r="D13" s="20">
        <v>1.2061456019999999</v>
      </c>
      <c r="E13" s="20">
        <v>3.3932756973333333</v>
      </c>
      <c r="F13" s="1">
        <v>18.801119845956372</v>
      </c>
      <c r="G13" s="42"/>
      <c r="J13" s="44" t="s">
        <v>187</v>
      </c>
      <c r="K13" s="35">
        <v>0</v>
      </c>
      <c r="L13" s="35">
        <v>0.33900000000000002</v>
      </c>
      <c r="M13" s="35">
        <v>4.1799999999999997E-2</v>
      </c>
      <c r="N13" s="21"/>
      <c r="Q13" s="22"/>
      <c r="R13" s="2"/>
      <c r="S13" s="2"/>
      <c r="T13" s="2"/>
      <c r="U13" s="34">
        <f t="shared" si="0"/>
        <v>0.33900000000000002</v>
      </c>
    </row>
    <row r="14" spans="1:21" x14ac:dyDescent="0.2">
      <c r="A14" s="18" t="s">
        <v>51</v>
      </c>
      <c r="B14" s="19" t="s">
        <v>52</v>
      </c>
      <c r="C14" s="19" t="s">
        <v>53</v>
      </c>
      <c r="D14" s="20">
        <v>1.3644539653333334</v>
      </c>
      <c r="E14" s="20">
        <v>4.3429000000000002</v>
      </c>
      <c r="F14" s="1">
        <v>31.034660220230919</v>
      </c>
      <c r="G14" s="42"/>
      <c r="J14" s="44" t="s">
        <v>187</v>
      </c>
      <c r="K14" s="35">
        <v>2.9999999999999997E-4</v>
      </c>
      <c r="L14" s="35">
        <v>0.5806</v>
      </c>
      <c r="M14" s="35">
        <v>8.3999999999999995E-3</v>
      </c>
      <c r="N14" s="21"/>
      <c r="Q14" s="22"/>
      <c r="R14" s="2"/>
      <c r="S14" s="2"/>
      <c r="T14" s="2"/>
      <c r="U14" s="34">
        <f t="shared" si="0"/>
        <v>0.5806</v>
      </c>
    </row>
    <row r="15" spans="1:21" x14ac:dyDescent="0.2">
      <c r="A15" s="18" t="s">
        <v>54</v>
      </c>
      <c r="B15" s="19" t="s">
        <v>55</v>
      </c>
      <c r="C15" s="19" t="s">
        <v>56</v>
      </c>
      <c r="D15" s="20">
        <v>22.874935035</v>
      </c>
      <c r="E15" s="20">
        <v>24.6079400275</v>
      </c>
      <c r="F15" s="1">
        <v>0.57945205808734324</v>
      </c>
      <c r="G15" s="42" t="s">
        <v>187</v>
      </c>
      <c r="J15" s="44"/>
      <c r="K15" s="35">
        <v>0.96250000000000002</v>
      </c>
      <c r="L15" s="35">
        <v>2.0000000000000001E-4</v>
      </c>
      <c r="M15" s="35">
        <v>0</v>
      </c>
      <c r="N15" s="21"/>
      <c r="Q15" s="22" t="s">
        <v>187</v>
      </c>
      <c r="R15" s="2"/>
      <c r="S15" s="2"/>
      <c r="T15" s="2"/>
      <c r="U15" s="34">
        <f t="shared" si="0"/>
        <v>0.96250000000000002</v>
      </c>
    </row>
    <row r="16" spans="1:21" x14ac:dyDescent="0.2">
      <c r="A16" s="18" t="s">
        <v>57</v>
      </c>
      <c r="B16" s="19" t="s">
        <v>58</v>
      </c>
      <c r="C16" s="19" t="s">
        <v>59</v>
      </c>
      <c r="D16" s="20">
        <v>6.2546504967500001</v>
      </c>
      <c r="E16" s="20">
        <v>15.532</v>
      </c>
      <c r="F16" s="1">
        <v>9.0745053788121819</v>
      </c>
      <c r="G16" s="42" t="s">
        <v>187</v>
      </c>
      <c r="J16" s="44"/>
      <c r="K16" s="35">
        <v>0.95850000000000002</v>
      </c>
      <c r="L16" s="35">
        <v>2.1299999999999999E-2</v>
      </c>
      <c r="M16" s="35">
        <v>0</v>
      </c>
      <c r="N16" s="21"/>
      <c r="Q16" s="22" t="s">
        <v>187</v>
      </c>
      <c r="R16" s="2"/>
      <c r="S16" s="2"/>
      <c r="T16" s="2"/>
      <c r="U16" s="34">
        <f t="shared" si="0"/>
        <v>0.95850000000000002</v>
      </c>
    </row>
    <row r="17" spans="1:21" x14ac:dyDescent="0.2">
      <c r="A17" s="18" t="s">
        <v>60</v>
      </c>
      <c r="B17" s="19" t="s">
        <v>61</v>
      </c>
      <c r="C17" s="19" t="s">
        <v>62</v>
      </c>
      <c r="D17" s="20">
        <v>9.3693601763333323</v>
      </c>
      <c r="E17" s="20">
        <v>7.8944924125</v>
      </c>
      <c r="F17" s="1">
        <v>12.820760020675625</v>
      </c>
      <c r="G17" s="42" t="s">
        <v>187</v>
      </c>
      <c r="J17" s="44"/>
      <c r="K17" s="35">
        <v>0.8891</v>
      </c>
      <c r="L17" s="35">
        <v>6.9999999999999999E-4</v>
      </c>
      <c r="M17" s="35">
        <v>0</v>
      </c>
      <c r="N17" s="21"/>
      <c r="P17" s="2" t="s">
        <v>187</v>
      </c>
      <c r="Q17" s="22"/>
      <c r="R17" s="2"/>
      <c r="S17" s="2"/>
      <c r="T17" s="2"/>
      <c r="U17" s="34">
        <f t="shared" si="0"/>
        <v>0.8891</v>
      </c>
    </row>
    <row r="18" spans="1:21" x14ac:dyDescent="0.2">
      <c r="A18" s="18" t="s">
        <v>63</v>
      </c>
      <c r="B18" s="19" t="s">
        <v>64</v>
      </c>
      <c r="C18" s="19" t="s">
        <v>65</v>
      </c>
      <c r="D18" s="20">
        <v>0.17901247399999998</v>
      </c>
      <c r="E18" s="20">
        <v>0.10387149900000001</v>
      </c>
      <c r="F18" s="1">
        <v>3.1503542928202743</v>
      </c>
      <c r="G18" s="42"/>
      <c r="I18" s="43" t="s">
        <v>187</v>
      </c>
      <c r="J18" s="44"/>
      <c r="K18" s="35">
        <v>0</v>
      </c>
      <c r="L18" s="35">
        <v>0</v>
      </c>
      <c r="M18" s="35">
        <v>0.93159999999999998</v>
      </c>
      <c r="N18" s="21"/>
      <c r="O18" s="2" t="s">
        <v>187</v>
      </c>
      <c r="Q18" s="22"/>
      <c r="R18" s="2"/>
      <c r="S18" s="2"/>
      <c r="T18" s="2"/>
      <c r="U18" s="34">
        <f t="shared" si="0"/>
        <v>0.93159999999999998</v>
      </c>
    </row>
    <row r="19" spans="1:21" x14ac:dyDescent="0.2">
      <c r="A19" s="18" t="s">
        <v>66</v>
      </c>
      <c r="B19" s="19" t="s">
        <v>67</v>
      </c>
      <c r="C19" s="19" t="s">
        <v>68</v>
      </c>
      <c r="D19" s="20">
        <v>0.54874205375000007</v>
      </c>
      <c r="E19" s="20">
        <v>2.0566</v>
      </c>
      <c r="F19" s="1">
        <v>0</v>
      </c>
      <c r="G19" s="42"/>
      <c r="I19" s="43" t="s">
        <v>187</v>
      </c>
      <c r="J19" s="44"/>
      <c r="K19" s="35">
        <v>0</v>
      </c>
      <c r="L19" s="35">
        <v>4.7E-2</v>
      </c>
      <c r="M19" s="35">
        <v>0.74750000000000005</v>
      </c>
      <c r="N19" s="21"/>
      <c r="O19" s="2" t="s">
        <v>187</v>
      </c>
      <c r="Q19" s="22"/>
      <c r="R19" s="2"/>
      <c r="S19" s="2"/>
      <c r="T19" s="2"/>
      <c r="U19" s="34">
        <f t="shared" si="0"/>
        <v>0.74750000000000005</v>
      </c>
    </row>
    <row r="20" spans="1:21" x14ac:dyDescent="0.2">
      <c r="A20" s="18" t="s">
        <v>69</v>
      </c>
      <c r="B20" s="19" t="s">
        <v>70</v>
      </c>
      <c r="C20" s="19" t="s">
        <v>71</v>
      </c>
      <c r="D20" s="20">
        <v>0.3333895985</v>
      </c>
      <c r="E20" s="20">
        <v>1.203249988</v>
      </c>
      <c r="F20" s="1">
        <v>1.5211500914377209E-2</v>
      </c>
      <c r="G20" s="42"/>
      <c r="I20" s="49" t="s">
        <v>187</v>
      </c>
      <c r="J20" s="44"/>
      <c r="K20" s="35">
        <v>0</v>
      </c>
      <c r="L20" s="35">
        <v>1.4E-3</v>
      </c>
      <c r="M20" s="35">
        <v>0.92200000000000004</v>
      </c>
      <c r="N20" s="21"/>
      <c r="O20" s="2" t="s">
        <v>187</v>
      </c>
      <c r="Q20" s="22"/>
      <c r="R20" s="2"/>
      <c r="S20" s="2"/>
      <c r="T20" s="2"/>
      <c r="U20" s="34">
        <f t="shared" si="0"/>
        <v>0.92200000000000004</v>
      </c>
    </row>
    <row r="21" spans="1:21" x14ac:dyDescent="0.2">
      <c r="A21" s="18" t="s">
        <v>72</v>
      </c>
      <c r="B21" s="19" t="s">
        <v>73</v>
      </c>
      <c r="C21" s="19" t="s">
        <v>74</v>
      </c>
      <c r="D21" s="20">
        <v>0.60305902999999994</v>
      </c>
      <c r="E21" s="20">
        <v>2.7710778606666668</v>
      </c>
      <c r="F21" s="1">
        <v>0</v>
      </c>
      <c r="G21" s="42"/>
      <c r="I21" s="43" t="s">
        <v>187</v>
      </c>
      <c r="J21" s="44"/>
      <c r="K21" s="35">
        <v>0</v>
      </c>
      <c r="L21" s="35">
        <v>0.26840000000000003</v>
      </c>
      <c r="M21" s="35">
        <v>0.47139999999999999</v>
      </c>
      <c r="N21" s="21"/>
      <c r="O21" s="2" t="s">
        <v>187</v>
      </c>
      <c r="Q21" s="22"/>
      <c r="R21" s="2"/>
      <c r="S21" s="2"/>
      <c r="T21" s="2"/>
      <c r="U21" s="34">
        <f t="shared" si="0"/>
        <v>0.47139999999999999</v>
      </c>
    </row>
    <row r="22" spans="1:21" x14ac:dyDescent="0.2">
      <c r="A22" s="18" t="s">
        <v>75</v>
      </c>
      <c r="B22" s="19" t="s">
        <v>76</v>
      </c>
      <c r="C22" s="19" t="s">
        <v>77</v>
      </c>
      <c r="D22" s="20">
        <v>0.51146430274999999</v>
      </c>
      <c r="E22" s="20">
        <v>8.1879589089999989</v>
      </c>
      <c r="F22" s="1">
        <v>0.30339651138814322</v>
      </c>
      <c r="G22" s="42"/>
      <c r="H22" s="43" t="s">
        <v>187</v>
      </c>
      <c r="J22" s="44"/>
      <c r="K22" s="35">
        <v>0</v>
      </c>
      <c r="L22" s="35">
        <v>0.95899999999999996</v>
      </c>
      <c r="M22" s="35">
        <v>7.7999999999999996E-3</v>
      </c>
      <c r="N22" s="21"/>
      <c r="O22" s="2" t="s">
        <v>187</v>
      </c>
      <c r="Q22" s="22"/>
      <c r="R22" s="2"/>
      <c r="S22" s="2"/>
      <c r="T22" s="2"/>
      <c r="U22" s="34">
        <f t="shared" si="0"/>
        <v>0.95899999999999996</v>
      </c>
    </row>
    <row r="23" spans="1:21" x14ac:dyDescent="0.2">
      <c r="A23" s="18" t="s">
        <v>78</v>
      </c>
      <c r="B23" s="19" t="s">
        <v>79</v>
      </c>
      <c r="C23" s="19" t="s">
        <v>80</v>
      </c>
      <c r="D23" s="20">
        <v>0.21611967949999999</v>
      </c>
      <c r="E23" s="20">
        <v>0.15798624150000001</v>
      </c>
      <c r="F23" s="1">
        <v>0.35044217296410846</v>
      </c>
      <c r="G23" s="42"/>
      <c r="I23" s="43" t="s">
        <v>187</v>
      </c>
      <c r="J23" s="44"/>
      <c r="K23" s="35">
        <v>0</v>
      </c>
      <c r="L23" s="35">
        <v>0</v>
      </c>
      <c r="M23" s="35">
        <v>0.95909999999999995</v>
      </c>
      <c r="N23" s="21"/>
      <c r="O23" s="2" t="s">
        <v>187</v>
      </c>
      <c r="Q23" s="22"/>
      <c r="R23" s="2"/>
      <c r="S23" s="2"/>
      <c r="T23" s="2"/>
      <c r="U23" s="34">
        <f t="shared" si="0"/>
        <v>0.95909999999999995</v>
      </c>
    </row>
    <row r="24" spans="1:21" x14ac:dyDescent="0.2">
      <c r="A24" s="18" t="s">
        <v>81</v>
      </c>
      <c r="B24" s="19" t="s">
        <v>82</v>
      </c>
      <c r="C24" s="19" t="s">
        <v>83</v>
      </c>
      <c r="D24" s="20">
        <v>0.19255715033333334</v>
      </c>
      <c r="E24" s="20">
        <v>0.10908</v>
      </c>
      <c r="F24" s="1">
        <v>5.9537487449813263E-2</v>
      </c>
      <c r="G24" s="42"/>
      <c r="I24" s="43" t="s">
        <v>187</v>
      </c>
      <c r="J24" s="44"/>
      <c r="K24" s="35">
        <v>0</v>
      </c>
      <c r="L24" s="35">
        <v>0</v>
      </c>
      <c r="M24" s="35">
        <v>0.94320000000000004</v>
      </c>
      <c r="N24" s="21"/>
      <c r="O24" s="2" t="s">
        <v>187</v>
      </c>
      <c r="Q24" s="22"/>
      <c r="R24" s="2"/>
      <c r="S24" s="2"/>
      <c r="T24" s="2"/>
      <c r="U24" s="34">
        <f t="shared" si="0"/>
        <v>0.94320000000000004</v>
      </c>
    </row>
    <row r="25" spans="1:21" x14ac:dyDescent="0.2">
      <c r="A25" s="18" t="s">
        <v>84</v>
      </c>
      <c r="B25" s="19" t="s">
        <v>85</v>
      </c>
      <c r="C25" s="19" t="s">
        <v>86</v>
      </c>
      <c r="D25" s="20">
        <v>20.675006645</v>
      </c>
      <c r="E25" s="20">
        <v>28.821234709999999</v>
      </c>
      <c r="F25" s="1">
        <v>0.53883424044362527</v>
      </c>
      <c r="G25" s="42" t="s">
        <v>187</v>
      </c>
      <c r="J25" s="44"/>
      <c r="K25" s="35">
        <v>0.95609999999999995</v>
      </c>
      <c r="L25" s="35">
        <v>8.0000000000000004E-4</v>
      </c>
      <c r="M25" s="35">
        <v>0</v>
      </c>
      <c r="N25" s="21"/>
      <c r="Q25" s="22" t="s">
        <v>187</v>
      </c>
      <c r="R25" s="2"/>
      <c r="S25" s="2"/>
      <c r="T25" s="2"/>
      <c r="U25" s="34">
        <f t="shared" si="0"/>
        <v>0.95609999999999995</v>
      </c>
    </row>
    <row r="26" spans="1:21" x14ac:dyDescent="0.2">
      <c r="A26" s="18" t="s">
        <v>87</v>
      </c>
      <c r="B26" s="19" t="s">
        <v>88</v>
      </c>
      <c r="C26" s="19" t="s">
        <v>89</v>
      </c>
      <c r="D26" s="20">
        <v>1.8377920582499998</v>
      </c>
      <c r="E26" s="20">
        <v>6.9425472063333329</v>
      </c>
      <c r="F26" s="1">
        <v>232.61759082517204</v>
      </c>
      <c r="G26" s="42"/>
      <c r="H26" s="49" t="s">
        <v>187</v>
      </c>
      <c r="J26" s="44"/>
      <c r="K26" s="35">
        <v>1.6E-2</v>
      </c>
      <c r="L26" s="35">
        <v>0.81100000000000005</v>
      </c>
      <c r="M26" s="35">
        <v>2.0000000000000001E-4</v>
      </c>
      <c r="N26" s="21"/>
      <c r="O26" s="2" t="s">
        <v>187</v>
      </c>
      <c r="Q26" s="22"/>
      <c r="R26" s="2"/>
      <c r="S26" s="2"/>
      <c r="T26" s="2"/>
      <c r="U26" s="34">
        <f t="shared" si="0"/>
        <v>0.81100000000000005</v>
      </c>
    </row>
    <row r="27" spans="1:21" x14ac:dyDescent="0.2">
      <c r="A27" s="18" t="s">
        <v>90</v>
      </c>
      <c r="B27" s="19" t="s">
        <v>91</v>
      </c>
      <c r="C27" s="19" t="s">
        <v>92</v>
      </c>
      <c r="D27" s="20">
        <v>0.23983734000000001</v>
      </c>
      <c r="E27" s="20">
        <v>4.5806295083333337</v>
      </c>
      <c r="F27" s="1">
        <v>0.23070776386803027</v>
      </c>
      <c r="G27" s="42"/>
      <c r="H27" s="43" t="s">
        <v>187</v>
      </c>
      <c r="J27" s="44"/>
      <c r="K27" s="35">
        <v>0</v>
      </c>
      <c r="L27" s="35">
        <v>0.83340000000000003</v>
      </c>
      <c r="M27" s="35">
        <v>6.3899999999999998E-2</v>
      </c>
      <c r="N27" s="21"/>
      <c r="O27" s="2" t="s">
        <v>187</v>
      </c>
      <c r="Q27" s="22"/>
      <c r="R27" s="2"/>
      <c r="S27" s="2"/>
      <c r="T27" s="2"/>
      <c r="U27" s="34">
        <f t="shared" si="0"/>
        <v>0.83340000000000003</v>
      </c>
    </row>
    <row r="28" spans="1:21" x14ac:dyDescent="0.2">
      <c r="A28" s="18" t="s">
        <v>93</v>
      </c>
      <c r="B28" s="19" t="s">
        <v>94</v>
      </c>
      <c r="C28" s="19" t="s">
        <v>92</v>
      </c>
      <c r="D28" s="20">
        <v>0.20847676500000001</v>
      </c>
      <c r="E28" s="20">
        <v>5.7583622499999993</v>
      </c>
      <c r="F28" s="1">
        <v>4.9437377971720542E-2</v>
      </c>
      <c r="G28" s="42"/>
      <c r="H28" s="43" t="s">
        <v>187</v>
      </c>
      <c r="J28" s="44"/>
      <c r="K28" s="35">
        <v>0</v>
      </c>
      <c r="L28" s="35">
        <v>0.87019999999999997</v>
      </c>
      <c r="M28" s="35">
        <v>2.41E-2</v>
      </c>
      <c r="N28" s="21"/>
      <c r="O28" s="2" t="s">
        <v>187</v>
      </c>
      <c r="Q28" s="22"/>
      <c r="R28" s="2"/>
      <c r="S28" s="2"/>
      <c r="T28" s="2"/>
      <c r="U28" s="34">
        <f t="shared" si="0"/>
        <v>0.87019999999999997</v>
      </c>
    </row>
    <row r="29" spans="1:21" x14ac:dyDescent="0.2">
      <c r="A29" s="18" t="s">
        <v>95</v>
      </c>
      <c r="B29" s="19" t="s">
        <v>96</v>
      </c>
      <c r="C29" s="19" t="s">
        <v>97</v>
      </c>
      <c r="D29" s="20">
        <v>0.39532672466666668</v>
      </c>
      <c r="E29" s="20">
        <v>4.4733024570000008</v>
      </c>
      <c r="F29" s="1">
        <v>0</v>
      </c>
      <c r="G29" s="42"/>
      <c r="H29" s="43" t="s">
        <v>187</v>
      </c>
      <c r="J29" s="44"/>
      <c r="K29" s="35">
        <v>0</v>
      </c>
      <c r="L29" s="35">
        <v>0.8206</v>
      </c>
      <c r="M29" s="35">
        <v>9.8199999999999996E-2</v>
      </c>
      <c r="N29" s="21"/>
      <c r="O29" s="2" t="s">
        <v>187</v>
      </c>
      <c r="Q29" s="22"/>
      <c r="R29" s="2"/>
      <c r="S29" s="2"/>
      <c r="T29" s="2"/>
      <c r="U29" s="34">
        <f t="shared" si="0"/>
        <v>0.8206</v>
      </c>
    </row>
    <row r="30" spans="1:21" x14ac:dyDescent="0.2">
      <c r="A30" s="18" t="s">
        <v>98</v>
      </c>
      <c r="B30" s="19" t="s">
        <v>99</v>
      </c>
      <c r="C30" s="19" t="s">
        <v>100</v>
      </c>
      <c r="D30" s="20">
        <v>0.22067396250000001</v>
      </c>
      <c r="E30" s="20">
        <v>7.6293731149999999</v>
      </c>
      <c r="F30" s="1">
        <v>0</v>
      </c>
      <c r="G30" s="42"/>
      <c r="H30" s="43" t="s">
        <v>187</v>
      </c>
      <c r="J30" s="44"/>
      <c r="K30" s="35">
        <v>0</v>
      </c>
      <c r="L30" s="35">
        <v>0.88939999999999997</v>
      </c>
      <c r="M30" s="35">
        <v>1.23E-2</v>
      </c>
      <c r="N30" s="21"/>
      <c r="O30" s="2" t="s">
        <v>187</v>
      </c>
      <c r="Q30" s="22"/>
      <c r="R30" s="2"/>
      <c r="S30" s="2"/>
      <c r="T30" s="2"/>
      <c r="U30" s="34">
        <f t="shared" si="0"/>
        <v>0.88939999999999997</v>
      </c>
    </row>
    <row r="31" spans="1:21" x14ac:dyDescent="0.2">
      <c r="A31" s="18" t="s">
        <v>101</v>
      </c>
      <c r="B31" s="19" t="s">
        <v>102</v>
      </c>
      <c r="C31" s="19" t="s">
        <v>103</v>
      </c>
      <c r="D31" s="20">
        <v>0.95720746600000006</v>
      </c>
      <c r="E31" s="20">
        <v>5.7329999999999997</v>
      </c>
      <c r="F31" s="1">
        <v>0</v>
      </c>
      <c r="G31" s="42"/>
      <c r="H31" s="43" t="s">
        <v>187</v>
      </c>
      <c r="J31" s="44"/>
      <c r="K31" s="35">
        <v>1E-4</v>
      </c>
      <c r="L31" s="35">
        <v>0.90149999999999997</v>
      </c>
      <c r="M31" s="35">
        <v>7.9000000000000008E-3</v>
      </c>
      <c r="N31" s="21"/>
      <c r="O31" s="2" t="s">
        <v>187</v>
      </c>
      <c r="Q31" s="22"/>
      <c r="R31" s="2"/>
      <c r="S31" s="2"/>
      <c r="T31" s="2"/>
      <c r="U31" s="34">
        <f t="shared" si="0"/>
        <v>0.90149999999999997</v>
      </c>
    </row>
    <row r="32" spans="1:21" x14ac:dyDescent="0.2">
      <c r="A32" s="18" t="s">
        <v>104</v>
      </c>
      <c r="B32" s="19" t="s">
        <v>105</v>
      </c>
      <c r="C32" s="19" t="s">
        <v>106</v>
      </c>
      <c r="D32" s="20">
        <v>11.621694674333332</v>
      </c>
      <c r="E32" s="20">
        <v>11.064395067499998</v>
      </c>
      <c r="F32" s="1">
        <v>0</v>
      </c>
      <c r="G32" s="42" t="s">
        <v>187</v>
      </c>
      <c r="J32" s="44"/>
      <c r="K32" s="35">
        <v>0.96989999999999998</v>
      </c>
      <c r="L32" s="35">
        <v>2.9999999999999997E-4</v>
      </c>
      <c r="M32" s="35">
        <v>0</v>
      </c>
      <c r="N32" s="21"/>
      <c r="Q32" s="22" t="s">
        <v>187</v>
      </c>
      <c r="R32" s="2"/>
      <c r="S32" s="2"/>
      <c r="T32" s="2"/>
      <c r="U32" s="34">
        <f t="shared" si="0"/>
        <v>0.96989999999999998</v>
      </c>
    </row>
    <row r="33" spans="1:21" x14ac:dyDescent="0.2">
      <c r="A33" s="18" t="s">
        <v>107</v>
      </c>
      <c r="B33" s="19" t="s">
        <v>108</v>
      </c>
      <c r="C33" s="19" t="s">
        <v>109</v>
      </c>
      <c r="D33" s="20">
        <v>6.0305876654999997</v>
      </c>
      <c r="E33" s="20">
        <v>6.6641813399999998</v>
      </c>
      <c r="F33" s="1">
        <v>9.0935906926095225E-2</v>
      </c>
      <c r="G33" s="42" t="s">
        <v>187</v>
      </c>
      <c r="J33" s="44"/>
      <c r="K33" s="35">
        <v>0.69810000000000005</v>
      </c>
      <c r="L33" s="35">
        <v>8.2000000000000007E-3</v>
      </c>
      <c r="M33" s="35">
        <v>0</v>
      </c>
      <c r="N33" s="21"/>
      <c r="Q33" s="22" t="s">
        <v>187</v>
      </c>
      <c r="R33" s="2"/>
      <c r="S33" s="2"/>
      <c r="T33" s="2"/>
      <c r="U33" s="34">
        <f t="shared" si="0"/>
        <v>0.69810000000000005</v>
      </c>
    </row>
    <row r="34" spans="1:21" x14ac:dyDescent="0.2">
      <c r="A34" s="18" t="s">
        <v>110</v>
      </c>
      <c r="B34" s="19" t="s">
        <v>111</v>
      </c>
      <c r="C34" s="19" t="s">
        <v>112</v>
      </c>
      <c r="D34" s="20">
        <v>5.3107148469999998</v>
      </c>
      <c r="E34" s="20">
        <v>10.345721210000001</v>
      </c>
      <c r="F34" s="1">
        <v>0.34414970300762771</v>
      </c>
      <c r="G34" s="42" t="s">
        <v>187</v>
      </c>
      <c r="J34" s="44"/>
      <c r="K34" s="35">
        <v>0.91479999999999995</v>
      </c>
      <c r="L34" s="35">
        <v>2.8500000000000001E-2</v>
      </c>
      <c r="M34" s="35">
        <v>0</v>
      </c>
      <c r="N34" s="21"/>
      <c r="Q34" s="22" t="s">
        <v>187</v>
      </c>
      <c r="R34" s="2"/>
      <c r="S34" s="2"/>
      <c r="T34" s="2"/>
      <c r="U34" s="34">
        <f t="shared" si="0"/>
        <v>0.91479999999999995</v>
      </c>
    </row>
    <row r="35" spans="1:21" x14ac:dyDescent="0.2">
      <c r="A35" s="18" t="s">
        <v>113</v>
      </c>
      <c r="B35" s="19" t="s">
        <v>114</v>
      </c>
      <c r="C35" s="19" t="s">
        <v>115</v>
      </c>
      <c r="D35" s="20">
        <v>2.1583676792499999</v>
      </c>
      <c r="E35" s="20">
        <v>13.910643117500001</v>
      </c>
      <c r="F35" s="1">
        <v>0.38931935152745784</v>
      </c>
      <c r="G35" s="42"/>
      <c r="H35" s="43" t="s">
        <v>187</v>
      </c>
      <c r="J35" s="44"/>
      <c r="K35" s="35">
        <v>7.7299999999999994E-2</v>
      </c>
      <c r="L35" s="35">
        <v>0.87629999999999997</v>
      </c>
      <c r="M35" s="35">
        <v>0</v>
      </c>
      <c r="N35" s="21" t="s">
        <v>187</v>
      </c>
      <c r="Q35" s="22"/>
      <c r="R35" s="2"/>
      <c r="S35" s="2"/>
      <c r="T35" s="2"/>
      <c r="U35" s="34">
        <f t="shared" si="0"/>
        <v>0.87629999999999997</v>
      </c>
    </row>
    <row r="36" spans="1:21" x14ac:dyDescent="0.2">
      <c r="A36" s="18" t="s">
        <v>116</v>
      </c>
      <c r="B36" s="19" t="s">
        <v>117</v>
      </c>
      <c r="C36" s="19" t="s">
        <v>118</v>
      </c>
      <c r="D36" s="20">
        <v>0.27691721275000003</v>
      </c>
      <c r="E36" s="20">
        <v>6.2981608000000008E-2</v>
      </c>
      <c r="F36" s="1">
        <v>0.14249597180100756</v>
      </c>
      <c r="G36" s="42"/>
      <c r="I36" s="43" t="s">
        <v>187</v>
      </c>
      <c r="J36" s="44"/>
      <c r="K36" s="35">
        <v>0</v>
      </c>
      <c r="L36" s="35">
        <v>0</v>
      </c>
      <c r="M36" s="35">
        <v>0.9456</v>
      </c>
      <c r="N36" s="21"/>
      <c r="O36" s="2" t="s">
        <v>187</v>
      </c>
      <c r="Q36" s="22"/>
      <c r="R36" s="2"/>
      <c r="S36" s="2"/>
      <c r="T36" s="2"/>
      <c r="U36" s="34">
        <f t="shared" si="0"/>
        <v>0.9456</v>
      </c>
    </row>
    <row r="37" spans="1:21" x14ac:dyDescent="0.2">
      <c r="A37" s="18" t="s">
        <v>119</v>
      </c>
      <c r="B37" s="19" t="s">
        <v>120</v>
      </c>
      <c r="C37" s="19" t="s">
        <v>121</v>
      </c>
      <c r="D37" s="20">
        <v>3.2186788889999995</v>
      </c>
      <c r="E37" s="20">
        <v>4.6281070404999998</v>
      </c>
      <c r="F37" s="1">
        <v>0</v>
      </c>
      <c r="G37" s="42"/>
      <c r="J37" s="44" t="s">
        <v>187</v>
      </c>
      <c r="K37" s="35">
        <v>4.2700000000000002E-2</v>
      </c>
      <c r="L37" s="35">
        <v>6.59E-2</v>
      </c>
      <c r="M37" s="35">
        <v>0</v>
      </c>
      <c r="N37" s="21"/>
      <c r="Q37" s="22"/>
      <c r="R37" s="2"/>
      <c r="S37" s="2"/>
      <c r="T37" s="2"/>
      <c r="U37" s="34">
        <f t="shared" si="0"/>
        <v>6.59E-2</v>
      </c>
    </row>
    <row r="38" spans="1:21" x14ac:dyDescent="0.2">
      <c r="A38" s="18" t="s">
        <v>122</v>
      </c>
      <c r="B38" s="19" t="s">
        <v>123</v>
      </c>
      <c r="C38" s="19" t="s">
        <v>124</v>
      </c>
      <c r="D38" s="20">
        <v>3.4198256264999998</v>
      </c>
      <c r="E38" s="20">
        <v>6.9587830784999998</v>
      </c>
      <c r="F38" s="1">
        <v>0.17861246234950087</v>
      </c>
      <c r="G38" s="42"/>
      <c r="J38" s="44" t="s">
        <v>187</v>
      </c>
      <c r="K38" s="35">
        <v>0.3881</v>
      </c>
      <c r="L38" s="35">
        <v>0.2185</v>
      </c>
      <c r="M38" s="35">
        <v>0</v>
      </c>
      <c r="N38" s="21"/>
      <c r="Q38" s="22"/>
      <c r="R38" s="2"/>
      <c r="S38" s="2"/>
      <c r="T38" s="2"/>
      <c r="U38" s="34">
        <f t="shared" si="0"/>
        <v>0.3881</v>
      </c>
    </row>
    <row r="39" spans="1:21" x14ac:dyDescent="0.2">
      <c r="A39" s="18" t="s">
        <v>125</v>
      </c>
      <c r="B39" s="19" t="s">
        <v>126</v>
      </c>
      <c r="C39" s="19" t="s">
        <v>127</v>
      </c>
      <c r="D39" s="20">
        <v>0.20158520724999998</v>
      </c>
      <c r="E39" s="20">
        <v>9.3314894250000002E-2</v>
      </c>
      <c r="F39" s="1">
        <v>0.19774951188693982</v>
      </c>
      <c r="G39" s="42"/>
      <c r="I39" s="43" t="s">
        <v>187</v>
      </c>
      <c r="J39" s="44"/>
      <c r="K39" s="35">
        <v>0</v>
      </c>
      <c r="L39" s="35">
        <v>0</v>
      </c>
      <c r="M39" s="35">
        <v>0.94420000000000004</v>
      </c>
      <c r="N39" s="21"/>
      <c r="O39" s="2" t="s">
        <v>187</v>
      </c>
      <c r="Q39" s="22"/>
      <c r="R39" s="2"/>
      <c r="S39" s="2"/>
      <c r="T39" s="2"/>
      <c r="U39" s="34">
        <f t="shared" si="0"/>
        <v>0.94420000000000004</v>
      </c>
    </row>
    <row r="40" spans="1:21" x14ac:dyDescent="0.2">
      <c r="A40" s="18" t="s">
        <v>128</v>
      </c>
      <c r="B40" s="19" t="s">
        <v>129</v>
      </c>
      <c r="C40" s="19" t="s">
        <v>130</v>
      </c>
      <c r="D40" s="20">
        <v>0.23274240625000001</v>
      </c>
      <c r="E40" s="20">
        <v>1.8257116842499999</v>
      </c>
      <c r="F40" s="1">
        <v>0.10648050640067044</v>
      </c>
      <c r="G40" s="42"/>
      <c r="I40" s="43" t="s">
        <v>187</v>
      </c>
      <c r="J40" s="44"/>
      <c r="K40" s="35">
        <v>0</v>
      </c>
      <c r="L40" s="35">
        <v>7.0999999999999994E-2</v>
      </c>
      <c r="M40" s="35">
        <v>0.74319999999999997</v>
      </c>
      <c r="N40" s="21"/>
      <c r="O40" s="2" t="s">
        <v>187</v>
      </c>
      <c r="Q40" s="22"/>
      <c r="R40" s="2"/>
      <c r="S40" s="2"/>
      <c r="T40" s="2"/>
      <c r="U40" s="34">
        <f t="shared" si="0"/>
        <v>0.74319999999999997</v>
      </c>
    </row>
    <row r="41" spans="1:21" x14ac:dyDescent="0.2">
      <c r="A41" s="18" t="s">
        <v>131</v>
      </c>
      <c r="B41" s="19" t="s">
        <v>132</v>
      </c>
      <c r="C41" s="19" t="s">
        <v>133</v>
      </c>
      <c r="D41" s="20">
        <v>4.9145432889999991</v>
      </c>
      <c r="E41" s="20">
        <v>10.04694632775</v>
      </c>
      <c r="F41" s="1">
        <v>0.11908169780424578</v>
      </c>
      <c r="G41" s="42" t="s">
        <v>187</v>
      </c>
      <c r="J41" s="44"/>
      <c r="K41" s="35">
        <v>0.8861</v>
      </c>
      <c r="L41" s="35">
        <v>4.3799999999999999E-2</v>
      </c>
      <c r="M41" s="35">
        <v>0</v>
      </c>
      <c r="N41" s="21"/>
      <c r="Q41" s="22" t="s">
        <v>187</v>
      </c>
      <c r="R41" s="2"/>
      <c r="S41" s="2"/>
      <c r="T41" s="2"/>
      <c r="U41" s="34">
        <f t="shared" si="0"/>
        <v>0.8861</v>
      </c>
    </row>
    <row r="42" spans="1:21" x14ac:dyDescent="0.2">
      <c r="A42" s="18" t="s">
        <v>134</v>
      </c>
      <c r="B42" s="19" t="s">
        <v>135</v>
      </c>
      <c r="C42" s="19" t="s">
        <v>136</v>
      </c>
      <c r="D42" s="20">
        <v>0.40872783000000001</v>
      </c>
      <c r="E42" s="20">
        <v>3.6881302659999999</v>
      </c>
      <c r="F42" s="1">
        <v>0</v>
      </c>
      <c r="G42" s="42"/>
      <c r="H42" s="49" t="s">
        <v>187</v>
      </c>
      <c r="J42" s="44"/>
      <c r="K42" s="35">
        <v>0</v>
      </c>
      <c r="L42" s="35">
        <v>0.66590000000000005</v>
      </c>
      <c r="M42" s="35">
        <v>0.21579999999999999</v>
      </c>
      <c r="N42" s="21"/>
      <c r="O42" s="2" t="s">
        <v>187</v>
      </c>
      <c r="Q42" s="22"/>
      <c r="R42" s="2"/>
      <c r="S42" s="2"/>
      <c r="T42" s="2"/>
      <c r="U42" s="34">
        <f t="shared" si="0"/>
        <v>0.66590000000000005</v>
      </c>
    </row>
    <row r="43" spans="1:21" x14ac:dyDescent="0.2">
      <c r="A43" s="18" t="s">
        <v>137</v>
      </c>
      <c r="B43" s="19" t="s">
        <v>138</v>
      </c>
      <c r="C43" s="19" t="s">
        <v>139</v>
      </c>
      <c r="D43" s="20">
        <v>0.40312164174999998</v>
      </c>
      <c r="E43" s="20">
        <v>0.50615653024999996</v>
      </c>
      <c r="F43" s="1">
        <v>0.3137625588607007</v>
      </c>
      <c r="G43" s="42"/>
      <c r="I43" s="43" t="s">
        <v>187</v>
      </c>
      <c r="J43" s="44"/>
      <c r="K43" s="35">
        <v>0</v>
      </c>
      <c r="L43" s="35">
        <v>0</v>
      </c>
      <c r="M43" s="35">
        <v>0.96060000000000001</v>
      </c>
      <c r="N43" s="21"/>
      <c r="O43" s="2" t="s">
        <v>187</v>
      </c>
      <c r="Q43" s="22"/>
      <c r="R43" s="2"/>
      <c r="S43" s="2"/>
      <c r="T43" s="2"/>
      <c r="U43" s="34">
        <f t="shared" si="0"/>
        <v>0.96060000000000001</v>
      </c>
    </row>
    <row r="44" spans="1:21" x14ac:dyDescent="0.2">
      <c r="A44" s="18" t="s">
        <v>140</v>
      </c>
      <c r="B44" s="19" t="s">
        <v>141</v>
      </c>
      <c r="C44" s="19" t="s">
        <v>142</v>
      </c>
      <c r="D44" s="20">
        <v>0.20915988266666666</v>
      </c>
      <c r="E44" s="20">
        <v>0.20836924133333334</v>
      </c>
      <c r="F44" s="1">
        <v>0.12880265272702313</v>
      </c>
      <c r="G44" s="42"/>
      <c r="I44" s="43" t="s">
        <v>187</v>
      </c>
      <c r="J44" s="44"/>
      <c r="K44" s="35">
        <v>0</v>
      </c>
      <c r="L44" s="35">
        <v>0</v>
      </c>
      <c r="M44" s="35">
        <v>0.95720000000000005</v>
      </c>
      <c r="N44" s="21"/>
      <c r="O44" s="2" t="s">
        <v>187</v>
      </c>
      <c r="Q44" s="22"/>
      <c r="R44" s="2"/>
      <c r="S44" s="2"/>
      <c r="T44" s="2"/>
      <c r="U44" s="34">
        <f t="shared" si="0"/>
        <v>0.95720000000000005</v>
      </c>
    </row>
    <row r="45" spans="1:21" x14ac:dyDescent="0.2">
      <c r="A45" s="18" t="s">
        <v>143</v>
      </c>
      <c r="B45" s="19" t="s">
        <v>144</v>
      </c>
      <c r="C45" s="19" t="s">
        <v>145</v>
      </c>
      <c r="D45" s="20">
        <v>15.102780098250001</v>
      </c>
      <c r="E45" s="20">
        <v>21.777812342499999</v>
      </c>
      <c r="F45" s="1">
        <v>1.059481038687184</v>
      </c>
      <c r="G45" s="42" t="s">
        <v>187</v>
      </c>
      <c r="J45" s="44"/>
      <c r="K45" s="35">
        <v>0.98209999999999997</v>
      </c>
      <c r="L45" s="35">
        <v>8.0000000000000004E-4</v>
      </c>
      <c r="M45" s="35">
        <v>0</v>
      </c>
      <c r="N45" s="21"/>
      <c r="Q45" s="22" t="s">
        <v>187</v>
      </c>
      <c r="R45" s="2"/>
      <c r="S45" s="2"/>
      <c r="T45" s="2"/>
      <c r="U45" s="34">
        <f t="shared" si="0"/>
        <v>0.98209999999999997</v>
      </c>
    </row>
    <row r="46" spans="1:21" x14ac:dyDescent="0.2">
      <c r="A46" s="18" t="s">
        <v>146</v>
      </c>
      <c r="B46" s="19" t="s">
        <v>147</v>
      </c>
      <c r="C46" s="19" t="s">
        <v>148</v>
      </c>
      <c r="D46" s="20">
        <v>4.5738949499999997</v>
      </c>
      <c r="E46" s="20">
        <v>21.527763534999998</v>
      </c>
      <c r="F46" s="1">
        <v>0.2166187401204504</v>
      </c>
      <c r="G46" s="42" t="s">
        <v>187</v>
      </c>
      <c r="J46" s="44"/>
      <c r="K46" s="35">
        <v>0.75900000000000001</v>
      </c>
      <c r="L46" s="35">
        <v>0.20519999999999999</v>
      </c>
      <c r="M46" s="35">
        <v>0</v>
      </c>
      <c r="N46" s="21"/>
      <c r="Q46" s="22" t="s">
        <v>187</v>
      </c>
      <c r="R46" s="2"/>
      <c r="S46" s="2"/>
      <c r="T46" s="2"/>
      <c r="U46" s="34">
        <f t="shared" si="0"/>
        <v>0.75900000000000001</v>
      </c>
    </row>
    <row r="47" spans="1:21" x14ac:dyDescent="0.2">
      <c r="A47" s="18" t="s">
        <v>149</v>
      </c>
      <c r="B47" s="19" t="s">
        <v>150</v>
      </c>
      <c r="C47" s="19" t="s">
        <v>115</v>
      </c>
      <c r="D47" s="20">
        <v>0.52834630849999997</v>
      </c>
      <c r="E47" s="20">
        <v>7.8988514877499991</v>
      </c>
      <c r="F47" s="1">
        <v>3.9930189900253932E-2</v>
      </c>
      <c r="G47" s="42"/>
      <c r="H47" s="43" t="s">
        <v>187</v>
      </c>
      <c r="J47" s="44"/>
      <c r="K47" s="35">
        <v>0</v>
      </c>
      <c r="L47" s="35">
        <v>0.95799999999999996</v>
      </c>
      <c r="M47" s="35">
        <v>8.3000000000000001E-3</v>
      </c>
      <c r="N47" s="21"/>
      <c r="O47" s="2" t="s">
        <v>187</v>
      </c>
      <c r="Q47" s="22"/>
      <c r="R47" s="2"/>
      <c r="S47" s="2"/>
      <c r="T47" s="2"/>
      <c r="U47" s="34">
        <f t="shared" si="0"/>
        <v>0.95799999999999996</v>
      </c>
    </row>
    <row r="48" spans="1:21" x14ac:dyDescent="0.2">
      <c r="A48" s="18" t="s">
        <v>151</v>
      </c>
      <c r="B48" s="19" t="s">
        <v>152</v>
      </c>
      <c r="C48" s="19" t="s">
        <v>115</v>
      </c>
      <c r="D48" s="20">
        <v>1.160340294</v>
      </c>
      <c r="E48" s="20">
        <v>18.386178817499999</v>
      </c>
      <c r="F48" s="1">
        <v>0.69937065591413761</v>
      </c>
      <c r="G48" s="42"/>
      <c r="H48" s="43" t="s">
        <v>187</v>
      </c>
      <c r="J48" s="44"/>
      <c r="K48" s="35">
        <v>1.2999999999999999E-3</v>
      </c>
      <c r="L48" s="35">
        <v>0.97009999999999996</v>
      </c>
      <c r="M48" s="35">
        <v>1E-4</v>
      </c>
      <c r="N48" s="21"/>
      <c r="O48" s="2" t="s">
        <v>187</v>
      </c>
      <c r="Q48" s="22"/>
      <c r="R48" s="2"/>
      <c r="S48" s="2"/>
      <c r="T48" s="2"/>
      <c r="U48" s="34">
        <f t="shared" si="0"/>
        <v>0.97009999999999996</v>
      </c>
    </row>
    <row r="49" spans="1:21" x14ac:dyDescent="0.2">
      <c r="A49" s="18" t="s">
        <v>153</v>
      </c>
      <c r="B49" s="19" t="s">
        <v>154</v>
      </c>
      <c r="C49" s="19" t="s">
        <v>155</v>
      </c>
      <c r="D49" s="20">
        <v>3.91073778175</v>
      </c>
      <c r="E49" s="20">
        <v>6.8909904236666675</v>
      </c>
      <c r="F49" s="1">
        <v>5.624596876073622</v>
      </c>
      <c r="G49" s="24" t="s">
        <v>187</v>
      </c>
      <c r="J49" s="44"/>
      <c r="K49" s="35">
        <v>0.50700000000000001</v>
      </c>
      <c r="L49" s="35">
        <v>0.11269999999999999</v>
      </c>
      <c r="M49" s="35">
        <v>0</v>
      </c>
      <c r="N49" s="21"/>
      <c r="Q49" s="22" t="s">
        <v>187</v>
      </c>
      <c r="R49" s="2"/>
      <c r="S49" s="2"/>
      <c r="T49" s="2"/>
      <c r="U49" s="34">
        <f t="shared" si="0"/>
        <v>0.50700000000000001</v>
      </c>
    </row>
    <row r="50" spans="1:21" x14ac:dyDescent="0.2">
      <c r="A50" s="18" t="s">
        <v>156</v>
      </c>
      <c r="B50" s="19" t="s">
        <v>157</v>
      </c>
      <c r="C50" s="19" t="s">
        <v>158</v>
      </c>
      <c r="D50" s="20">
        <v>7.5385900584999996</v>
      </c>
      <c r="E50" s="20">
        <v>18.633921130000001</v>
      </c>
      <c r="F50" s="1">
        <v>1.2653898085245547</v>
      </c>
      <c r="G50" s="42" t="s">
        <v>187</v>
      </c>
      <c r="J50" s="44"/>
      <c r="K50" s="35">
        <v>0.97160000000000002</v>
      </c>
      <c r="L50" s="35">
        <v>1.26E-2</v>
      </c>
      <c r="M50" s="35">
        <v>0</v>
      </c>
      <c r="N50" s="21"/>
      <c r="Q50" s="22" t="s">
        <v>187</v>
      </c>
      <c r="R50" s="2"/>
      <c r="S50" s="2"/>
      <c r="T50" s="2"/>
      <c r="U50" s="34">
        <f t="shared" si="0"/>
        <v>0.97160000000000002</v>
      </c>
    </row>
    <row r="51" spans="1:21" x14ac:dyDescent="0.2">
      <c r="A51" s="18" t="s">
        <v>159</v>
      </c>
      <c r="B51" s="19" t="s">
        <v>160</v>
      </c>
      <c r="C51" s="19" t="s">
        <v>161</v>
      </c>
      <c r="D51" s="20">
        <v>12.138011455000001</v>
      </c>
      <c r="E51" s="20">
        <v>22.250670100000001</v>
      </c>
      <c r="F51" s="1">
        <v>0.76811308919873711</v>
      </c>
      <c r="G51" s="42" t="s">
        <v>187</v>
      </c>
      <c r="J51" s="44"/>
      <c r="K51" s="35">
        <v>0.98229999999999995</v>
      </c>
      <c r="L51" s="35">
        <v>2.3E-3</v>
      </c>
      <c r="M51" s="35">
        <v>0</v>
      </c>
      <c r="N51" s="21"/>
      <c r="Q51" s="22" t="s">
        <v>187</v>
      </c>
      <c r="R51" s="2"/>
      <c r="S51" s="2"/>
      <c r="T51" s="2"/>
      <c r="U51" s="34">
        <f t="shared" si="0"/>
        <v>0.98229999999999995</v>
      </c>
    </row>
    <row r="52" spans="1:21" x14ac:dyDescent="0.2">
      <c r="A52" s="18" t="s">
        <v>162</v>
      </c>
      <c r="B52" s="19" t="s">
        <v>163</v>
      </c>
      <c r="C52" s="19" t="s">
        <v>164</v>
      </c>
      <c r="D52" s="20">
        <v>1.4257575604999999</v>
      </c>
      <c r="E52" s="20">
        <v>2.3529</v>
      </c>
      <c r="F52" s="1">
        <v>25.608561789356202</v>
      </c>
      <c r="G52" s="42"/>
      <c r="J52" s="44" t="s">
        <v>187</v>
      </c>
      <c r="K52" s="35">
        <v>0</v>
      </c>
      <c r="L52" s="35">
        <v>2.5100000000000001E-2</v>
      </c>
      <c r="M52" s="35">
        <v>3.5900000000000001E-2</v>
      </c>
      <c r="N52" s="21"/>
      <c r="Q52" s="22"/>
      <c r="R52" s="2"/>
      <c r="S52" s="2"/>
      <c r="T52" s="2"/>
      <c r="U52" s="34">
        <f t="shared" si="0"/>
        <v>3.5900000000000001E-2</v>
      </c>
    </row>
    <row r="53" spans="1:21" x14ac:dyDescent="0.2">
      <c r="A53" s="18" t="s">
        <v>165</v>
      </c>
      <c r="B53" s="19" t="s">
        <v>166</v>
      </c>
      <c r="C53" s="19" t="s">
        <v>167</v>
      </c>
      <c r="D53" s="20">
        <v>4.5913000000000004</v>
      </c>
      <c r="E53" s="20">
        <v>2.7883891479999998</v>
      </c>
      <c r="F53" s="1" t="s">
        <v>47</v>
      </c>
      <c r="G53" s="42"/>
      <c r="J53" s="44" t="s">
        <v>187</v>
      </c>
      <c r="K53" s="35">
        <v>5.9999999999999995E-4</v>
      </c>
      <c r="L53" s="35">
        <v>2.0000000000000001E-4</v>
      </c>
      <c r="M53" s="35">
        <v>0</v>
      </c>
      <c r="N53" s="21"/>
      <c r="Q53" s="22"/>
      <c r="R53" s="2"/>
      <c r="S53" s="2"/>
      <c r="T53" s="2"/>
      <c r="U53" s="34">
        <f t="shared" si="0"/>
        <v>5.9999999999999995E-4</v>
      </c>
    </row>
    <row r="54" spans="1:21" x14ac:dyDescent="0.2">
      <c r="A54" s="18" t="s">
        <v>168</v>
      </c>
      <c r="B54" s="19" t="s">
        <v>169</v>
      </c>
      <c r="C54" s="19" t="s">
        <v>170</v>
      </c>
      <c r="D54" s="20">
        <v>0.37691000000000002</v>
      </c>
      <c r="E54" s="20">
        <v>0.64</v>
      </c>
      <c r="F54" s="1">
        <v>2.9302603495393496</v>
      </c>
      <c r="G54" s="42"/>
      <c r="I54" s="43" t="s">
        <v>187</v>
      </c>
      <c r="J54" s="44"/>
      <c r="K54" s="35">
        <v>0</v>
      </c>
      <c r="L54" s="35">
        <v>0</v>
      </c>
      <c r="M54" s="35">
        <v>0.95699999999999996</v>
      </c>
      <c r="N54" s="21"/>
      <c r="O54" s="2" t="s">
        <v>187</v>
      </c>
      <c r="Q54" s="22"/>
      <c r="R54" s="2"/>
      <c r="S54" s="2"/>
      <c r="T54" s="2"/>
      <c r="U54" s="34">
        <f t="shared" si="0"/>
        <v>0.95699999999999996</v>
      </c>
    </row>
    <row r="55" spans="1:21" x14ac:dyDescent="0.2">
      <c r="A55" s="18" t="s">
        <v>171</v>
      </c>
      <c r="B55" s="19" t="s">
        <v>172</v>
      </c>
      <c r="C55" s="19" t="s">
        <v>173</v>
      </c>
      <c r="D55" s="20">
        <v>0.61483392475000009</v>
      </c>
      <c r="E55" s="20">
        <v>0.62872040274999996</v>
      </c>
      <c r="F55" s="1">
        <v>0.18583036322523613</v>
      </c>
      <c r="G55" s="42"/>
      <c r="I55" s="43" t="s">
        <v>187</v>
      </c>
      <c r="J55" s="44"/>
      <c r="K55" s="35">
        <v>0</v>
      </c>
      <c r="L55" s="35">
        <v>0</v>
      </c>
      <c r="M55" s="35">
        <v>0.90010000000000001</v>
      </c>
      <c r="N55" s="21" t="s">
        <v>187</v>
      </c>
      <c r="Q55" s="22"/>
      <c r="R55" s="2"/>
      <c r="S55" s="2"/>
      <c r="T55" s="2"/>
      <c r="U55" s="34">
        <f t="shared" si="0"/>
        <v>0.90010000000000001</v>
      </c>
    </row>
    <row r="56" spans="1:21" x14ac:dyDescent="0.2">
      <c r="A56" s="18" t="s">
        <v>174</v>
      </c>
      <c r="B56" s="19" t="s">
        <v>175</v>
      </c>
      <c r="C56" s="19" t="s">
        <v>176</v>
      </c>
      <c r="D56" s="20">
        <v>3.6311867797500001</v>
      </c>
      <c r="E56" s="20">
        <v>20.4430073025</v>
      </c>
      <c r="F56" s="1">
        <v>0.23164942821037426</v>
      </c>
      <c r="G56" s="42" t="s">
        <v>187</v>
      </c>
      <c r="J56" s="44"/>
      <c r="K56" s="35">
        <v>0.51890000000000003</v>
      </c>
      <c r="L56" s="35">
        <v>0.43640000000000001</v>
      </c>
      <c r="M56" s="35">
        <v>0</v>
      </c>
      <c r="N56" s="21"/>
      <c r="Q56" s="22" t="s">
        <v>187</v>
      </c>
      <c r="R56" s="2"/>
      <c r="S56" s="2"/>
      <c r="T56" s="2"/>
      <c r="U56" s="34">
        <f t="shared" si="0"/>
        <v>0.51890000000000003</v>
      </c>
    </row>
    <row r="57" spans="1:21" x14ac:dyDescent="0.2">
      <c r="A57" s="18" t="s">
        <v>177</v>
      </c>
      <c r="B57" s="19" t="s">
        <v>178</v>
      </c>
      <c r="C57" s="19" t="s">
        <v>179</v>
      </c>
      <c r="D57" s="20">
        <v>3.081000848</v>
      </c>
      <c r="E57" s="20" t="s">
        <v>180</v>
      </c>
      <c r="F57" s="1">
        <v>42.939584352857416</v>
      </c>
      <c r="G57" s="42" t="s">
        <v>187</v>
      </c>
      <c r="J57" s="44"/>
      <c r="K57" s="35" t="e">
        <v>#N/A</v>
      </c>
      <c r="L57" s="35" t="e">
        <v>#N/A</v>
      </c>
      <c r="M57" s="35" t="e">
        <v>#N/A</v>
      </c>
      <c r="N57" s="21"/>
      <c r="Q57" s="22" t="s">
        <v>187</v>
      </c>
      <c r="R57" s="2"/>
      <c r="S57" s="2"/>
      <c r="T57" s="2"/>
      <c r="U57" s="34" t="e">
        <f t="shared" si="0"/>
        <v>#N/A</v>
      </c>
    </row>
    <row r="58" spans="1:21" x14ac:dyDescent="0.2">
      <c r="A58" s="18" t="s">
        <v>181</v>
      </c>
      <c r="B58" s="19" t="s">
        <v>182</v>
      </c>
      <c r="C58" s="19" t="s">
        <v>183</v>
      </c>
      <c r="D58" s="20">
        <v>13.265238439999999</v>
      </c>
      <c r="E58" s="20">
        <v>3.9471413950000001</v>
      </c>
      <c r="F58" s="1">
        <v>1.6028118331883825</v>
      </c>
      <c r="G58" s="42"/>
      <c r="J58" s="44" t="s">
        <v>187</v>
      </c>
      <c r="K58" s="35">
        <v>2.7099999999999999E-2</v>
      </c>
      <c r="L58" s="35">
        <v>0</v>
      </c>
      <c r="M58" s="35">
        <v>0</v>
      </c>
      <c r="N58" s="21"/>
      <c r="Q58" s="22"/>
      <c r="R58" s="2"/>
      <c r="S58" s="2"/>
      <c r="T58" s="2"/>
      <c r="U58" s="34">
        <f t="shared" si="0"/>
        <v>2.7099999999999999E-2</v>
      </c>
    </row>
    <row r="59" spans="1:21" x14ac:dyDescent="0.2">
      <c r="A59" s="18" t="s">
        <v>184</v>
      </c>
      <c r="B59" s="19" t="s">
        <v>185</v>
      </c>
      <c r="C59" s="19" t="s">
        <v>186</v>
      </c>
      <c r="D59" s="20">
        <v>7.1174949460000008</v>
      </c>
      <c r="E59" s="20">
        <v>3.2292000000000001</v>
      </c>
      <c r="F59" s="1">
        <v>4.5080928454454501</v>
      </c>
      <c r="G59" s="42"/>
      <c r="J59" s="44" t="s">
        <v>187</v>
      </c>
      <c r="K59" s="35">
        <v>4.7999999999999996E-3</v>
      </c>
      <c r="L59" s="35">
        <v>0</v>
      </c>
      <c r="M59" s="35">
        <v>0</v>
      </c>
      <c r="N59" s="21"/>
      <c r="Q59" s="22"/>
      <c r="R59" s="2"/>
      <c r="S59" s="2"/>
      <c r="T59" s="2"/>
      <c r="U59" s="34">
        <f t="shared" si="0"/>
        <v>4.7999999999999996E-3</v>
      </c>
    </row>
    <row r="60" spans="1:21" x14ac:dyDescent="0.2">
      <c r="A60" s="18" t="s">
        <v>188</v>
      </c>
      <c r="B60" s="19" t="s">
        <v>189</v>
      </c>
      <c r="C60" s="19" t="s">
        <v>190</v>
      </c>
      <c r="D60" s="20">
        <v>2.9154270544999998</v>
      </c>
      <c r="E60" s="20" t="s">
        <v>180</v>
      </c>
      <c r="F60" s="1">
        <v>1.3183300792463162</v>
      </c>
      <c r="G60" s="42" t="s">
        <v>187</v>
      </c>
      <c r="J60" s="44"/>
      <c r="K60" s="35" t="e">
        <v>#N/A</v>
      </c>
      <c r="L60" s="35" t="e">
        <v>#N/A</v>
      </c>
      <c r="M60" s="35" t="e">
        <v>#N/A</v>
      </c>
      <c r="N60" s="21"/>
      <c r="Q60" s="22" t="s">
        <v>187</v>
      </c>
      <c r="R60" s="2"/>
      <c r="S60" s="2"/>
      <c r="T60" s="2"/>
      <c r="U60" s="34" t="e">
        <f t="shared" si="0"/>
        <v>#N/A</v>
      </c>
    </row>
    <row r="61" spans="1:21" x14ac:dyDescent="0.2">
      <c r="A61" s="18" t="s">
        <v>191</v>
      </c>
      <c r="B61" s="19" t="s">
        <v>192</v>
      </c>
      <c r="C61" s="19" t="s">
        <v>193</v>
      </c>
      <c r="D61" s="20">
        <v>0.65006383233333331</v>
      </c>
      <c r="E61" s="20">
        <v>1.4983</v>
      </c>
      <c r="F61" s="1">
        <v>0</v>
      </c>
      <c r="G61" s="42"/>
      <c r="I61" s="43" t="s">
        <v>187</v>
      </c>
      <c r="J61" s="44"/>
      <c r="K61" s="35">
        <v>0</v>
      </c>
      <c r="L61" s="35">
        <v>3.3999999999999998E-3</v>
      </c>
      <c r="M61" s="35">
        <v>0.77929999999999999</v>
      </c>
      <c r="N61" s="21"/>
      <c r="O61" s="2" t="s">
        <v>187</v>
      </c>
      <c r="Q61" s="22"/>
      <c r="R61" s="2"/>
      <c r="S61" s="2"/>
      <c r="T61" s="2"/>
      <c r="U61" s="34">
        <f t="shared" si="0"/>
        <v>0.77929999999999999</v>
      </c>
    </row>
    <row r="62" spans="1:21" x14ac:dyDescent="0.2">
      <c r="A62" s="18" t="s">
        <v>194</v>
      </c>
      <c r="B62" s="19" t="s">
        <v>195</v>
      </c>
      <c r="C62" s="19" t="s">
        <v>196</v>
      </c>
      <c r="D62" s="20">
        <v>4.8011316122499998</v>
      </c>
      <c r="E62" s="20">
        <v>12.556657903333333</v>
      </c>
      <c r="F62" s="1">
        <v>5.0716044511267686</v>
      </c>
      <c r="G62" s="42" t="s">
        <v>187</v>
      </c>
      <c r="J62" s="44"/>
      <c r="K62" s="35">
        <v>0.89559999999999995</v>
      </c>
      <c r="L62" s="35">
        <v>6.3500000000000001E-2</v>
      </c>
      <c r="M62" s="35">
        <v>0</v>
      </c>
      <c r="N62" s="21"/>
      <c r="Q62" s="22" t="s">
        <v>187</v>
      </c>
      <c r="R62" s="2"/>
      <c r="S62" s="2"/>
      <c r="T62" s="2"/>
      <c r="U62" s="34">
        <f t="shared" si="0"/>
        <v>0.89559999999999995</v>
      </c>
    </row>
    <row r="63" spans="1:21" x14ac:dyDescent="0.2">
      <c r="A63" s="18" t="s">
        <v>197</v>
      </c>
      <c r="B63" s="19" t="s">
        <v>198</v>
      </c>
      <c r="C63" s="19" t="s">
        <v>199</v>
      </c>
      <c r="D63" s="20">
        <v>1.6015127482499998</v>
      </c>
      <c r="E63" s="20">
        <v>2.9598</v>
      </c>
      <c r="F63" s="1">
        <v>138.39845035518468</v>
      </c>
      <c r="G63" s="42"/>
      <c r="J63" s="44" t="s">
        <v>187</v>
      </c>
      <c r="K63" s="35">
        <v>0</v>
      </c>
      <c r="L63" s="35">
        <v>7.7299999999999994E-2</v>
      </c>
      <c r="M63" s="35">
        <v>1.0999999999999999E-2</v>
      </c>
      <c r="N63" s="21"/>
      <c r="Q63" s="22"/>
      <c r="R63" s="2"/>
      <c r="S63" s="2"/>
      <c r="T63" s="2"/>
      <c r="U63" s="34">
        <f t="shared" si="0"/>
        <v>7.7299999999999994E-2</v>
      </c>
    </row>
    <row r="64" spans="1:21" x14ac:dyDescent="0.2">
      <c r="A64" s="18" t="s">
        <v>200</v>
      </c>
      <c r="B64" s="19" t="s">
        <v>201</v>
      </c>
      <c r="C64" s="19" t="s">
        <v>202</v>
      </c>
      <c r="D64" s="20">
        <v>1.8417702676666667</v>
      </c>
      <c r="E64" s="20">
        <v>4.475240426</v>
      </c>
      <c r="F64" s="1">
        <v>9.6575343014535367E-2</v>
      </c>
      <c r="G64" s="42"/>
      <c r="J64" s="44" t="s">
        <v>187</v>
      </c>
      <c r="K64" s="35">
        <v>2.8999999999999998E-3</v>
      </c>
      <c r="L64" s="35">
        <v>0.38240000000000002</v>
      </c>
      <c r="M64" s="35">
        <v>1.2999999999999999E-3</v>
      </c>
      <c r="N64" s="21"/>
      <c r="Q64" s="22"/>
      <c r="R64" s="2"/>
      <c r="S64" s="2"/>
      <c r="T64" s="2"/>
      <c r="U64" s="34">
        <f t="shared" si="0"/>
        <v>0.38240000000000002</v>
      </c>
    </row>
    <row r="65" spans="1:21" x14ac:dyDescent="0.2">
      <c r="A65" s="18" t="s">
        <v>203</v>
      </c>
      <c r="B65" s="19" t="s">
        <v>204</v>
      </c>
      <c r="C65" s="19" t="s">
        <v>205</v>
      </c>
      <c r="D65" s="20">
        <v>2.12291038525</v>
      </c>
      <c r="E65" s="20">
        <v>16.762978704750001</v>
      </c>
      <c r="F65" s="1">
        <v>0.61860103718461057</v>
      </c>
      <c r="G65" s="42"/>
      <c r="H65" s="43" t="s">
        <v>187</v>
      </c>
      <c r="J65" s="44"/>
      <c r="K65" s="35" t="e">
        <v>#N/A</v>
      </c>
      <c r="L65" s="35" t="e">
        <v>#N/A</v>
      </c>
      <c r="M65" s="35" t="e">
        <v>#N/A</v>
      </c>
      <c r="N65" s="21"/>
      <c r="O65" s="2" t="s">
        <v>187</v>
      </c>
      <c r="Q65" s="22"/>
      <c r="R65" s="2"/>
      <c r="S65" s="2"/>
      <c r="T65" s="2"/>
      <c r="U65" s="34" t="e">
        <f t="shared" si="0"/>
        <v>#N/A</v>
      </c>
    </row>
    <row r="66" spans="1:21" x14ac:dyDescent="0.2">
      <c r="A66" s="18" t="s">
        <v>206</v>
      </c>
      <c r="B66" s="19" t="s">
        <v>207</v>
      </c>
      <c r="C66" s="19" t="s">
        <v>208</v>
      </c>
      <c r="D66" s="20">
        <v>23.001223705000001</v>
      </c>
      <c r="E66" s="20">
        <v>22.156214967499999</v>
      </c>
      <c r="F66" s="1">
        <v>0.57193421701430103</v>
      </c>
      <c r="G66" s="42" t="s">
        <v>187</v>
      </c>
      <c r="J66" s="44"/>
      <c r="K66" s="35">
        <v>0.9667</v>
      </c>
      <c r="L66" s="35">
        <v>1E-4</v>
      </c>
      <c r="M66" s="35">
        <v>0</v>
      </c>
      <c r="N66" s="21"/>
      <c r="Q66" s="22" t="s">
        <v>187</v>
      </c>
      <c r="R66" s="2"/>
      <c r="S66" s="2"/>
      <c r="T66" s="2"/>
      <c r="U66" s="34">
        <f t="shared" ref="U66:U129" si="1">MAX(K66:M66)</f>
        <v>0.9667</v>
      </c>
    </row>
    <row r="67" spans="1:21" x14ac:dyDescent="0.2">
      <c r="A67" s="18" t="s">
        <v>209</v>
      </c>
      <c r="B67" s="19" t="s">
        <v>210</v>
      </c>
      <c r="C67" s="19" t="s">
        <v>211</v>
      </c>
      <c r="D67" s="20">
        <v>22.402684892499998</v>
      </c>
      <c r="E67" s="20">
        <v>20.035558134999999</v>
      </c>
      <c r="F67" s="1">
        <v>0.40954040923329682</v>
      </c>
      <c r="G67" s="42" t="s">
        <v>187</v>
      </c>
      <c r="J67" s="44"/>
      <c r="K67" s="35">
        <v>0.97030000000000005</v>
      </c>
      <c r="L67" s="35">
        <v>1E-4</v>
      </c>
      <c r="M67" s="35">
        <v>0</v>
      </c>
      <c r="N67" s="21"/>
      <c r="Q67" s="22" t="s">
        <v>187</v>
      </c>
      <c r="R67" s="2"/>
      <c r="S67" s="2"/>
      <c r="T67" s="2"/>
      <c r="U67" s="34">
        <f t="shared" si="1"/>
        <v>0.97030000000000005</v>
      </c>
    </row>
    <row r="68" spans="1:21" x14ac:dyDescent="0.2">
      <c r="A68" s="18" t="s">
        <v>212</v>
      </c>
      <c r="B68" s="19" t="s">
        <v>213</v>
      </c>
      <c r="C68" s="19" t="s">
        <v>214</v>
      </c>
      <c r="D68" s="20">
        <v>6.2730316009999996</v>
      </c>
      <c r="E68" s="20">
        <v>4.1213952687499997</v>
      </c>
      <c r="F68" s="1">
        <v>0.20763698748126355</v>
      </c>
      <c r="G68" s="42"/>
      <c r="J68" s="44" t="s">
        <v>187</v>
      </c>
      <c r="K68" s="35">
        <v>5.33E-2</v>
      </c>
      <c r="L68" s="35">
        <v>6.9999999999999999E-4</v>
      </c>
      <c r="M68" s="35">
        <v>0</v>
      </c>
      <c r="N68" s="21"/>
      <c r="Q68" s="22"/>
      <c r="R68" s="2"/>
      <c r="S68" s="2"/>
      <c r="T68" s="2"/>
      <c r="U68" s="34">
        <f t="shared" si="1"/>
        <v>5.33E-2</v>
      </c>
    </row>
    <row r="69" spans="1:21" x14ac:dyDescent="0.2">
      <c r="A69" s="18" t="s">
        <v>215</v>
      </c>
      <c r="B69" s="19" t="s">
        <v>216</v>
      </c>
      <c r="C69" s="19" t="s">
        <v>217</v>
      </c>
      <c r="D69" s="20">
        <v>0.150833616</v>
      </c>
      <c r="E69" s="20">
        <v>0.28971999999999998</v>
      </c>
      <c r="F69" s="1">
        <v>0.59324853566074143</v>
      </c>
      <c r="G69" s="42"/>
      <c r="I69" s="43" t="s">
        <v>187</v>
      </c>
      <c r="J69" s="44"/>
      <c r="K69" s="35">
        <v>0</v>
      </c>
      <c r="L69" s="35">
        <v>0</v>
      </c>
      <c r="M69" s="35">
        <v>0.88570000000000004</v>
      </c>
      <c r="N69" s="21" t="s">
        <v>187</v>
      </c>
      <c r="Q69" s="22"/>
      <c r="R69" s="2"/>
      <c r="S69" s="2"/>
      <c r="T69" s="2"/>
      <c r="U69" s="34">
        <f t="shared" si="1"/>
        <v>0.88570000000000004</v>
      </c>
    </row>
    <row r="70" spans="1:21" x14ac:dyDescent="0.2">
      <c r="A70" s="18" t="s">
        <v>218</v>
      </c>
      <c r="B70" s="19" t="s">
        <v>219</v>
      </c>
      <c r="C70" s="19" t="s">
        <v>220</v>
      </c>
      <c r="D70" s="20">
        <v>0.21943559874999999</v>
      </c>
      <c r="E70" s="20">
        <v>0.18098248775</v>
      </c>
      <c r="F70" s="1">
        <v>0.1837495464435748</v>
      </c>
      <c r="G70" s="42"/>
      <c r="I70" s="43" t="s">
        <v>187</v>
      </c>
      <c r="J70" s="44"/>
      <c r="K70" s="35">
        <v>0</v>
      </c>
      <c r="L70" s="35">
        <v>0</v>
      </c>
      <c r="M70" s="35">
        <v>0.9607</v>
      </c>
      <c r="N70" s="21"/>
      <c r="O70" s="2" t="s">
        <v>187</v>
      </c>
      <c r="Q70" s="22"/>
      <c r="R70" s="2"/>
      <c r="S70" s="2"/>
      <c r="T70" s="2"/>
      <c r="U70" s="34">
        <f t="shared" si="1"/>
        <v>0.9607</v>
      </c>
    </row>
    <row r="71" spans="1:21" x14ac:dyDescent="0.2">
      <c r="A71" s="18" t="s">
        <v>221</v>
      </c>
      <c r="B71" s="19" t="s">
        <v>222</v>
      </c>
      <c r="C71" s="19" t="s">
        <v>223</v>
      </c>
      <c r="D71" s="20">
        <v>0.15123310475000001</v>
      </c>
      <c r="E71" s="20">
        <v>1.5779498837500001</v>
      </c>
      <c r="F71" s="1">
        <v>0.51909246870334103</v>
      </c>
      <c r="G71" s="42"/>
      <c r="I71" s="43" t="s">
        <v>187</v>
      </c>
      <c r="J71" s="44"/>
      <c r="K71" s="35">
        <v>0</v>
      </c>
      <c r="L71" s="35">
        <v>8.3500000000000005E-2</v>
      </c>
      <c r="M71" s="35">
        <v>0.49540000000000001</v>
      </c>
      <c r="N71" s="21"/>
      <c r="O71" s="2" t="s">
        <v>187</v>
      </c>
      <c r="Q71" s="22"/>
      <c r="R71" s="2"/>
      <c r="S71" s="2"/>
      <c r="T71" s="2"/>
      <c r="U71" s="34">
        <f t="shared" si="1"/>
        <v>0.49540000000000001</v>
      </c>
    </row>
    <row r="72" spans="1:21" x14ac:dyDescent="0.2">
      <c r="A72" s="18" t="s">
        <v>224</v>
      </c>
      <c r="B72" s="19" t="s">
        <v>225</v>
      </c>
      <c r="C72" s="19" t="s">
        <v>226</v>
      </c>
      <c r="D72" s="20">
        <v>0.13612096775000002</v>
      </c>
      <c r="E72" s="20">
        <v>8.544093224999999E-2</v>
      </c>
      <c r="F72" s="1">
        <v>0.88800724205856096</v>
      </c>
      <c r="G72" s="42"/>
      <c r="I72" s="43" t="s">
        <v>187</v>
      </c>
      <c r="J72" s="44"/>
      <c r="K72" s="35">
        <v>0</v>
      </c>
      <c r="L72" s="35">
        <v>0</v>
      </c>
      <c r="M72" s="35">
        <v>0.83460000000000001</v>
      </c>
      <c r="N72" s="21"/>
      <c r="O72" s="2" t="s">
        <v>187</v>
      </c>
      <c r="Q72" s="22"/>
      <c r="R72" s="2"/>
      <c r="S72" s="2"/>
      <c r="T72" s="2"/>
      <c r="U72" s="34">
        <f t="shared" si="1"/>
        <v>0.83460000000000001</v>
      </c>
    </row>
    <row r="73" spans="1:21" x14ac:dyDescent="0.2">
      <c r="A73" s="18" t="s">
        <v>227</v>
      </c>
      <c r="B73" s="19" t="s">
        <v>228</v>
      </c>
      <c r="C73" s="19" t="s">
        <v>229</v>
      </c>
      <c r="D73" s="20">
        <v>1.905157196</v>
      </c>
      <c r="E73" s="20">
        <v>24.273222284999999</v>
      </c>
      <c r="F73" s="1">
        <v>0.64563739888451488</v>
      </c>
      <c r="G73" s="42"/>
      <c r="H73" s="43" t="s">
        <v>187</v>
      </c>
      <c r="J73" s="44"/>
      <c r="K73" s="35">
        <v>1.9900000000000001E-2</v>
      </c>
      <c r="L73" s="35">
        <v>0.94010000000000005</v>
      </c>
      <c r="M73" s="35">
        <v>0</v>
      </c>
      <c r="N73" s="21"/>
      <c r="O73" s="2" t="s">
        <v>187</v>
      </c>
      <c r="Q73" s="22"/>
      <c r="R73" s="2"/>
      <c r="S73" s="2"/>
      <c r="T73" s="2"/>
      <c r="U73" s="34">
        <f t="shared" si="1"/>
        <v>0.94010000000000005</v>
      </c>
    </row>
    <row r="74" spans="1:21" x14ac:dyDescent="0.2">
      <c r="A74" s="18" t="s">
        <v>230</v>
      </c>
      <c r="B74" s="19" t="s">
        <v>231</v>
      </c>
      <c r="C74" s="19" t="s">
        <v>232</v>
      </c>
      <c r="D74" s="20">
        <v>1.1165957980000001</v>
      </c>
      <c r="E74" s="20">
        <v>12.070783519999999</v>
      </c>
      <c r="F74" s="1">
        <v>0.12584059847353299</v>
      </c>
      <c r="G74" s="42"/>
      <c r="H74" s="43" t="s">
        <v>187</v>
      </c>
      <c r="J74" s="44"/>
      <c r="K74" s="35">
        <v>1E-3</v>
      </c>
      <c r="L74" s="35">
        <v>0.97199999999999998</v>
      </c>
      <c r="M74" s="35">
        <v>2.0000000000000001E-4</v>
      </c>
      <c r="N74" s="21"/>
      <c r="O74" s="2" t="s">
        <v>187</v>
      </c>
      <c r="Q74" s="22"/>
      <c r="R74" s="2"/>
      <c r="S74" s="2"/>
      <c r="T74" s="2"/>
      <c r="U74" s="34">
        <f t="shared" si="1"/>
        <v>0.97199999999999998</v>
      </c>
    </row>
    <row r="75" spans="1:21" x14ac:dyDescent="0.2">
      <c r="A75" s="18" t="s">
        <v>233</v>
      </c>
      <c r="B75" s="19" t="s">
        <v>234</v>
      </c>
      <c r="C75" s="19" t="s">
        <v>235</v>
      </c>
      <c r="D75" s="20">
        <v>2.4539919960000001</v>
      </c>
      <c r="E75" s="20">
        <v>15.99501571375</v>
      </c>
      <c r="F75" s="1">
        <v>0.49541456662207195</v>
      </c>
      <c r="G75" s="42"/>
      <c r="H75" s="43" t="s">
        <v>187</v>
      </c>
      <c r="J75" s="44"/>
      <c r="K75" s="35">
        <v>0.14399999999999999</v>
      </c>
      <c r="L75" s="35">
        <v>0.80989999999999995</v>
      </c>
      <c r="M75" s="35">
        <v>0</v>
      </c>
      <c r="N75" s="21"/>
      <c r="O75" s="2" t="s">
        <v>187</v>
      </c>
      <c r="Q75" s="22"/>
      <c r="R75" s="2"/>
      <c r="S75" s="2"/>
      <c r="T75" s="2"/>
      <c r="U75" s="34">
        <f t="shared" si="1"/>
        <v>0.80989999999999995</v>
      </c>
    </row>
    <row r="76" spans="1:21" x14ac:dyDescent="0.2">
      <c r="A76" s="18" t="s">
        <v>236</v>
      </c>
      <c r="B76" s="19" t="s">
        <v>237</v>
      </c>
      <c r="C76" s="19" t="s">
        <v>238</v>
      </c>
      <c r="D76" s="20">
        <v>1.2476871457500001</v>
      </c>
      <c r="E76" s="20">
        <v>17.461090287499999</v>
      </c>
      <c r="F76" s="1">
        <v>0.24608828145933123</v>
      </c>
      <c r="G76" s="42"/>
      <c r="H76" s="43" t="s">
        <v>187</v>
      </c>
      <c r="J76" s="44"/>
      <c r="K76" s="35">
        <v>2.2000000000000001E-3</v>
      </c>
      <c r="L76" s="35">
        <v>0.97030000000000005</v>
      </c>
      <c r="M76" s="35">
        <v>0</v>
      </c>
      <c r="N76" s="21"/>
      <c r="O76" s="2" t="s">
        <v>187</v>
      </c>
      <c r="P76" s="2" t="s">
        <v>187</v>
      </c>
      <c r="Q76" s="22"/>
      <c r="R76" s="2"/>
      <c r="S76" s="2"/>
      <c r="T76" s="2"/>
      <c r="U76" s="34">
        <f t="shared" si="1"/>
        <v>0.97030000000000005</v>
      </c>
    </row>
    <row r="77" spans="1:21" x14ac:dyDescent="0.2">
      <c r="A77" s="18" t="s">
        <v>239</v>
      </c>
      <c r="B77" s="19" t="s">
        <v>240</v>
      </c>
      <c r="C77" s="19" t="s">
        <v>241</v>
      </c>
      <c r="D77" s="20">
        <v>1.5101121097500001</v>
      </c>
      <c r="E77" s="20">
        <v>35.586903884999998</v>
      </c>
      <c r="F77" s="1">
        <v>0</v>
      </c>
      <c r="G77" s="42"/>
      <c r="H77" s="49" t="s">
        <v>187</v>
      </c>
      <c r="J77" s="44"/>
      <c r="K77" s="35">
        <v>2.2000000000000001E-3</v>
      </c>
      <c r="L77" s="35">
        <v>0.91159999999999997</v>
      </c>
      <c r="M77" s="35">
        <v>0</v>
      </c>
      <c r="N77" s="21"/>
      <c r="O77" s="2" t="s">
        <v>187</v>
      </c>
      <c r="Q77" s="22"/>
      <c r="R77" s="2"/>
      <c r="S77" s="2"/>
      <c r="T77" s="2"/>
      <c r="U77" s="34">
        <f t="shared" si="1"/>
        <v>0.91159999999999997</v>
      </c>
    </row>
    <row r="78" spans="1:21" x14ac:dyDescent="0.2">
      <c r="A78" s="18" t="s">
        <v>242</v>
      </c>
      <c r="B78" s="19" t="s">
        <v>243</v>
      </c>
      <c r="C78" s="19" t="s">
        <v>244</v>
      </c>
      <c r="D78" s="20">
        <v>2.9295479629999996</v>
      </c>
      <c r="E78" s="20">
        <v>21.077751682500001</v>
      </c>
      <c r="F78" s="1">
        <v>7.5754788136018866E-2</v>
      </c>
      <c r="G78" s="24" t="s">
        <v>187</v>
      </c>
      <c r="J78" s="44"/>
      <c r="K78" s="35">
        <v>0.23760000000000001</v>
      </c>
      <c r="L78" s="35">
        <v>0.71560000000000001</v>
      </c>
      <c r="M78" s="35">
        <v>0</v>
      </c>
      <c r="N78" s="21"/>
      <c r="Q78" s="22" t="s">
        <v>187</v>
      </c>
      <c r="R78" s="2"/>
      <c r="S78" s="2"/>
      <c r="T78" s="2"/>
      <c r="U78" s="34">
        <f t="shared" si="1"/>
        <v>0.71560000000000001</v>
      </c>
    </row>
    <row r="79" spans="1:21" x14ac:dyDescent="0.2">
      <c r="A79" s="18" t="s">
        <v>245</v>
      </c>
      <c r="B79" s="19" t="s">
        <v>246</v>
      </c>
      <c r="C79" s="19" t="s">
        <v>247</v>
      </c>
      <c r="D79" s="20">
        <v>0.28892201525</v>
      </c>
      <c r="E79" s="20">
        <v>8.0455425250000004E-2</v>
      </c>
      <c r="F79" s="1">
        <v>1.1472180586883547</v>
      </c>
      <c r="G79" s="42"/>
      <c r="I79" s="43" t="s">
        <v>187</v>
      </c>
      <c r="J79" s="44"/>
      <c r="K79" s="35">
        <v>0</v>
      </c>
      <c r="L79" s="35">
        <v>0</v>
      </c>
      <c r="M79" s="35">
        <v>0.95609999999999995</v>
      </c>
      <c r="N79" s="21"/>
      <c r="O79" s="2" t="s">
        <v>187</v>
      </c>
      <c r="Q79" s="22"/>
      <c r="R79" s="2"/>
      <c r="S79" s="2"/>
      <c r="T79" s="2"/>
      <c r="U79" s="34">
        <f t="shared" si="1"/>
        <v>0.95609999999999995</v>
      </c>
    </row>
    <row r="80" spans="1:21" x14ac:dyDescent="0.2">
      <c r="A80" s="18" t="s">
        <v>248</v>
      </c>
      <c r="B80" s="19" t="s">
        <v>249</v>
      </c>
      <c r="C80" s="19" t="s">
        <v>250</v>
      </c>
      <c r="D80" s="20">
        <v>0.23043690775</v>
      </c>
      <c r="E80" s="20">
        <v>5.6897293250000001E-2</v>
      </c>
      <c r="F80" s="1">
        <v>1.516079591137772</v>
      </c>
      <c r="G80" s="42"/>
      <c r="I80" s="43" t="s">
        <v>187</v>
      </c>
      <c r="J80" s="44"/>
      <c r="K80" s="35">
        <v>0</v>
      </c>
      <c r="L80" s="35">
        <v>0</v>
      </c>
      <c r="M80" s="35">
        <v>0.9335</v>
      </c>
      <c r="N80" s="21"/>
      <c r="O80" s="2" t="s">
        <v>187</v>
      </c>
      <c r="Q80" s="22"/>
      <c r="R80" s="2"/>
      <c r="S80" s="2"/>
      <c r="T80" s="2"/>
      <c r="U80" s="34">
        <f t="shared" si="1"/>
        <v>0.9335</v>
      </c>
    </row>
    <row r="81" spans="1:21" x14ac:dyDescent="0.2">
      <c r="A81" s="18" t="s">
        <v>251</v>
      </c>
      <c r="B81" s="19" t="s">
        <v>252</v>
      </c>
      <c r="C81" s="19" t="s">
        <v>253</v>
      </c>
      <c r="D81" s="20">
        <v>0.41218634599999998</v>
      </c>
      <c r="E81" s="20">
        <v>18.893947561250002</v>
      </c>
      <c r="F81" s="1">
        <v>0</v>
      </c>
      <c r="G81" s="42"/>
      <c r="H81" s="43" t="s">
        <v>187</v>
      </c>
      <c r="J81" s="44"/>
      <c r="K81" s="35">
        <v>0</v>
      </c>
      <c r="L81" s="35">
        <v>0.88980000000000004</v>
      </c>
      <c r="M81" s="35">
        <v>2.3E-3</v>
      </c>
      <c r="N81" s="21"/>
      <c r="O81" s="2" t="s">
        <v>187</v>
      </c>
      <c r="Q81" s="22"/>
      <c r="R81" s="2"/>
      <c r="S81" s="2"/>
      <c r="T81" s="2"/>
      <c r="U81" s="34">
        <f t="shared" si="1"/>
        <v>0.88980000000000004</v>
      </c>
    </row>
    <row r="82" spans="1:21" x14ac:dyDescent="0.2">
      <c r="A82" s="18" t="s">
        <v>254</v>
      </c>
      <c r="B82" s="19" t="s">
        <v>255</v>
      </c>
      <c r="C82" s="19" t="s">
        <v>256</v>
      </c>
      <c r="D82" s="20">
        <v>1.9862438704999998</v>
      </c>
      <c r="E82" s="20">
        <v>21.736895327500001</v>
      </c>
      <c r="F82" s="1">
        <v>0.66452065351943401</v>
      </c>
      <c r="G82" s="42"/>
      <c r="H82" s="43" t="s">
        <v>187</v>
      </c>
      <c r="J82" s="44"/>
      <c r="K82" s="35">
        <v>3.0599999999999999E-2</v>
      </c>
      <c r="L82" s="35">
        <v>0.93220000000000003</v>
      </c>
      <c r="M82" s="35">
        <v>0</v>
      </c>
      <c r="N82" s="21"/>
      <c r="O82" s="2" t="s">
        <v>187</v>
      </c>
      <c r="Q82" s="22"/>
      <c r="R82" s="2"/>
      <c r="S82" s="2"/>
      <c r="T82" s="2"/>
      <c r="U82" s="34">
        <f t="shared" si="1"/>
        <v>0.93220000000000003</v>
      </c>
    </row>
    <row r="83" spans="1:21" x14ac:dyDescent="0.2">
      <c r="A83" s="18" t="s">
        <v>257</v>
      </c>
      <c r="B83" s="19" t="s">
        <v>258</v>
      </c>
      <c r="C83" s="19" t="s">
        <v>259</v>
      </c>
      <c r="D83" s="20">
        <v>0.29779000224999996</v>
      </c>
      <c r="E83" s="20">
        <v>0.80165210524999997</v>
      </c>
      <c r="F83" s="1">
        <v>0.11745122524209381</v>
      </c>
      <c r="G83" s="42"/>
      <c r="I83" s="43" t="s">
        <v>187</v>
      </c>
      <c r="J83" s="44"/>
      <c r="K83" s="35">
        <v>0</v>
      </c>
      <c r="L83" s="35">
        <v>0</v>
      </c>
      <c r="M83" s="35">
        <v>0.94740000000000002</v>
      </c>
      <c r="N83" s="21"/>
      <c r="O83" s="2" t="s">
        <v>187</v>
      </c>
      <c r="Q83" s="22"/>
      <c r="R83" s="2"/>
      <c r="S83" s="2"/>
      <c r="T83" s="2"/>
      <c r="U83" s="34">
        <f t="shared" si="1"/>
        <v>0.94740000000000002</v>
      </c>
    </row>
    <row r="84" spans="1:21" x14ac:dyDescent="0.2">
      <c r="A84" s="18" t="s">
        <v>260</v>
      </c>
      <c r="B84" s="19" t="s">
        <v>261</v>
      </c>
      <c r="C84" s="19" t="s">
        <v>262</v>
      </c>
      <c r="D84" s="20">
        <v>0.37084458699999995</v>
      </c>
      <c r="E84" s="20">
        <v>2.5009818680000002</v>
      </c>
      <c r="F84" s="1">
        <v>0.37752179542043218</v>
      </c>
      <c r="G84" s="42"/>
      <c r="I84" s="43" t="s">
        <v>187</v>
      </c>
      <c r="J84" s="44"/>
      <c r="K84" s="35">
        <v>0</v>
      </c>
      <c r="L84" s="35">
        <v>0.20200000000000001</v>
      </c>
      <c r="M84" s="35">
        <v>0.63690000000000002</v>
      </c>
      <c r="N84" s="21"/>
      <c r="O84" s="2" t="s">
        <v>187</v>
      </c>
      <c r="Q84" s="22"/>
      <c r="R84" s="2"/>
      <c r="S84" s="2"/>
      <c r="T84" s="2"/>
      <c r="U84" s="34">
        <f t="shared" si="1"/>
        <v>0.63690000000000002</v>
      </c>
    </row>
    <row r="85" spans="1:21" x14ac:dyDescent="0.2">
      <c r="A85" s="18" t="s">
        <v>263</v>
      </c>
      <c r="B85" s="19" t="s">
        <v>264</v>
      </c>
      <c r="C85" s="19" t="s">
        <v>265</v>
      </c>
      <c r="D85" s="20">
        <v>0.50497374974999998</v>
      </c>
      <c r="E85" s="20">
        <v>6.2725752132499997</v>
      </c>
      <c r="F85" s="1">
        <v>0.2129610128013629</v>
      </c>
      <c r="G85" s="42"/>
      <c r="H85" s="43" t="s">
        <v>187</v>
      </c>
      <c r="J85" s="44"/>
      <c r="K85" s="35">
        <v>0</v>
      </c>
      <c r="L85" s="35">
        <v>0.93420000000000003</v>
      </c>
      <c r="M85" s="35">
        <v>2.0899999999999998E-2</v>
      </c>
      <c r="N85" s="21"/>
      <c r="O85" s="2" t="s">
        <v>187</v>
      </c>
      <c r="Q85" s="22"/>
      <c r="R85" s="2"/>
      <c r="S85" s="2"/>
      <c r="T85" s="2"/>
      <c r="U85" s="34">
        <f t="shared" si="1"/>
        <v>0.93420000000000003</v>
      </c>
    </row>
    <row r="86" spans="1:21" x14ac:dyDescent="0.2">
      <c r="A86" s="18" t="s">
        <v>266</v>
      </c>
      <c r="B86" s="19" t="s">
        <v>267</v>
      </c>
      <c r="C86" s="19" t="s">
        <v>268</v>
      </c>
      <c r="D86" s="20">
        <v>0.80246113074999992</v>
      </c>
      <c r="E86" s="20">
        <v>5.279042258333333</v>
      </c>
      <c r="F86" s="1">
        <v>0.15169825569406092</v>
      </c>
      <c r="G86" s="42"/>
      <c r="H86" s="43" t="s">
        <v>187</v>
      </c>
      <c r="J86" s="44"/>
      <c r="K86" s="35">
        <v>0</v>
      </c>
      <c r="L86" s="35">
        <v>0.89049999999999996</v>
      </c>
      <c r="M86" s="35">
        <v>1.95E-2</v>
      </c>
      <c r="N86" s="21"/>
      <c r="O86" s="2" t="s">
        <v>187</v>
      </c>
      <c r="Q86" s="22"/>
      <c r="R86" s="2"/>
      <c r="S86" s="2"/>
      <c r="T86" s="2"/>
      <c r="U86" s="34">
        <f t="shared" si="1"/>
        <v>0.89049999999999996</v>
      </c>
    </row>
    <row r="87" spans="1:21" x14ac:dyDescent="0.2">
      <c r="A87" s="18" t="s">
        <v>269</v>
      </c>
      <c r="B87" s="19" t="s">
        <v>270</v>
      </c>
      <c r="C87" s="19" t="s">
        <v>271</v>
      </c>
      <c r="D87" s="20">
        <v>1.50670218825</v>
      </c>
      <c r="E87" s="20">
        <v>26.581848337499995</v>
      </c>
      <c r="F87" s="1">
        <v>0.57513212876546249</v>
      </c>
      <c r="G87" s="42"/>
      <c r="H87" s="43" t="s">
        <v>187</v>
      </c>
      <c r="J87" s="44"/>
      <c r="K87" s="35">
        <v>4.3E-3</v>
      </c>
      <c r="L87" s="35">
        <v>0.95109999999999995</v>
      </c>
      <c r="M87" s="35">
        <v>0</v>
      </c>
      <c r="N87" s="21"/>
      <c r="O87" s="2" t="s">
        <v>187</v>
      </c>
      <c r="Q87" s="22"/>
      <c r="R87" s="2"/>
      <c r="S87" s="2"/>
      <c r="T87" s="2"/>
      <c r="U87" s="34">
        <f t="shared" si="1"/>
        <v>0.95109999999999995</v>
      </c>
    </row>
    <row r="88" spans="1:21" x14ac:dyDescent="0.2">
      <c r="A88" s="18" t="s">
        <v>272</v>
      </c>
      <c r="B88" s="19" t="s">
        <v>273</v>
      </c>
      <c r="C88" s="19" t="s">
        <v>274</v>
      </c>
      <c r="D88" s="20">
        <v>0.26965277399999998</v>
      </c>
      <c r="E88" s="20">
        <v>0.123444544</v>
      </c>
      <c r="F88" s="1">
        <v>0.42978623752861927</v>
      </c>
      <c r="G88" s="42"/>
      <c r="I88" s="43" t="s">
        <v>187</v>
      </c>
      <c r="J88" s="44"/>
      <c r="K88" s="35">
        <v>0</v>
      </c>
      <c r="L88" s="35">
        <v>0</v>
      </c>
      <c r="M88" s="35">
        <v>0.96560000000000001</v>
      </c>
      <c r="N88" s="21"/>
      <c r="O88" s="2" t="s">
        <v>187</v>
      </c>
      <c r="Q88" s="22"/>
      <c r="R88" s="2"/>
      <c r="S88" s="2"/>
      <c r="T88" s="2"/>
      <c r="U88" s="34">
        <f t="shared" si="1"/>
        <v>0.96560000000000001</v>
      </c>
    </row>
    <row r="89" spans="1:21" x14ac:dyDescent="0.2">
      <c r="A89" s="18" t="s">
        <v>275</v>
      </c>
      <c r="B89" s="19" t="s">
        <v>276</v>
      </c>
      <c r="C89" s="19" t="s">
        <v>277</v>
      </c>
      <c r="D89" s="20">
        <v>1.4091894710000001</v>
      </c>
      <c r="E89" s="20">
        <v>22.8982379925</v>
      </c>
      <c r="F89" s="1">
        <v>0.31995426642397462</v>
      </c>
      <c r="G89" s="42"/>
      <c r="H89" s="43" t="s">
        <v>187</v>
      </c>
      <c r="J89" s="44"/>
      <c r="K89" s="35">
        <v>3.7000000000000002E-3</v>
      </c>
      <c r="L89" s="35">
        <v>0.96060000000000001</v>
      </c>
      <c r="M89" s="35">
        <v>0</v>
      </c>
      <c r="N89" s="21"/>
      <c r="O89" s="2" t="s">
        <v>187</v>
      </c>
      <c r="Q89" s="22"/>
      <c r="R89" s="2"/>
      <c r="S89" s="2"/>
      <c r="T89" s="2"/>
      <c r="U89" s="34">
        <f t="shared" si="1"/>
        <v>0.96060000000000001</v>
      </c>
    </row>
    <row r="90" spans="1:21" x14ac:dyDescent="0.2">
      <c r="A90" s="18" t="s">
        <v>278</v>
      </c>
      <c r="B90" s="19" t="s">
        <v>279</v>
      </c>
      <c r="C90" s="19" t="s">
        <v>280</v>
      </c>
      <c r="D90" s="23" t="s">
        <v>46</v>
      </c>
      <c r="E90" s="20">
        <v>6.3551999999999997E-2</v>
      </c>
      <c r="F90" s="1">
        <v>0</v>
      </c>
      <c r="G90" s="42"/>
      <c r="I90" s="49" t="s">
        <v>187</v>
      </c>
      <c r="J90" s="44"/>
      <c r="K90" s="35" t="e">
        <v>#N/A</v>
      </c>
      <c r="L90" s="35" t="e">
        <v>#N/A</v>
      </c>
      <c r="M90" s="35" t="e">
        <v>#N/A</v>
      </c>
      <c r="N90" s="21"/>
      <c r="O90" s="2" t="s">
        <v>187</v>
      </c>
      <c r="Q90" s="22"/>
      <c r="R90" s="2"/>
      <c r="S90" s="2"/>
      <c r="T90" s="2"/>
      <c r="U90" s="34" t="e">
        <f t="shared" si="1"/>
        <v>#N/A</v>
      </c>
    </row>
    <row r="91" spans="1:21" x14ac:dyDescent="0.2">
      <c r="A91" s="18" t="s">
        <v>281</v>
      </c>
      <c r="B91" s="19" t="s">
        <v>282</v>
      </c>
      <c r="C91" s="19" t="s">
        <v>283</v>
      </c>
      <c r="D91" s="20">
        <v>0.66972790950000005</v>
      </c>
      <c r="E91" s="20">
        <v>8.6153311999999996E-2</v>
      </c>
      <c r="F91" s="1">
        <v>0.46605286972380056</v>
      </c>
      <c r="G91" s="42"/>
      <c r="I91" s="43" t="s">
        <v>187</v>
      </c>
      <c r="J91" s="44"/>
      <c r="K91" s="35">
        <v>0</v>
      </c>
      <c r="L91" s="35">
        <v>0</v>
      </c>
      <c r="M91" s="35">
        <v>0.7893</v>
      </c>
      <c r="N91" s="21"/>
      <c r="O91" s="2" t="s">
        <v>187</v>
      </c>
      <c r="Q91" s="22"/>
      <c r="R91" s="2"/>
      <c r="S91" s="2"/>
      <c r="T91" s="2"/>
      <c r="U91" s="34">
        <f t="shared" si="1"/>
        <v>0.7893</v>
      </c>
    </row>
    <row r="92" spans="1:21" x14ac:dyDescent="0.2">
      <c r="A92" s="18" t="s">
        <v>284</v>
      </c>
      <c r="B92" s="19" t="s">
        <v>285</v>
      </c>
      <c r="C92" s="19" t="s">
        <v>286</v>
      </c>
      <c r="D92" s="23" t="s">
        <v>46</v>
      </c>
      <c r="E92" s="20">
        <v>1.1071053500000001E-2</v>
      </c>
      <c r="F92" s="1" t="s">
        <v>47</v>
      </c>
      <c r="G92" s="42"/>
      <c r="I92" s="49" t="s">
        <v>187</v>
      </c>
      <c r="J92" s="44"/>
      <c r="K92" s="35" t="e">
        <v>#N/A</v>
      </c>
      <c r="L92" s="35" t="e">
        <v>#N/A</v>
      </c>
      <c r="M92" s="35" t="e">
        <v>#N/A</v>
      </c>
      <c r="N92" s="21"/>
      <c r="O92" s="2" t="s">
        <v>187</v>
      </c>
      <c r="Q92" s="22"/>
      <c r="R92" s="2"/>
      <c r="S92" s="2"/>
      <c r="T92" s="2"/>
      <c r="U92" s="34" t="e">
        <f t="shared" si="1"/>
        <v>#N/A</v>
      </c>
    </row>
    <row r="93" spans="1:21" x14ac:dyDescent="0.2">
      <c r="A93" s="18" t="s">
        <v>287</v>
      </c>
      <c r="B93" s="19" t="s">
        <v>288</v>
      </c>
      <c r="C93" s="19" t="s">
        <v>289</v>
      </c>
      <c r="D93" s="20">
        <v>0.40555158800000002</v>
      </c>
      <c r="E93" s="20">
        <v>4.2630386892500001</v>
      </c>
      <c r="F93" s="1">
        <v>0.86356667576331347</v>
      </c>
      <c r="G93" s="42"/>
      <c r="H93" s="43" t="s">
        <v>187</v>
      </c>
      <c r="J93" s="44"/>
      <c r="K93" s="35">
        <v>0</v>
      </c>
      <c r="L93" s="35">
        <v>0.79079999999999995</v>
      </c>
      <c r="M93" s="35">
        <v>0.1198</v>
      </c>
      <c r="N93" s="21" t="s">
        <v>187</v>
      </c>
      <c r="Q93" s="22"/>
      <c r="R93" s="2"/>
      <c r="S93" s="2"/>
      <c r="T93" s="2"/>
      <c r="U93" s="34">
        <f t="shared" si="1"/>
        <v>0.79079999999999995</v>
      </c>
    </row>
    <row r="94" spans="1:21" x14ac:dyDescent="0.2">
      <c r="A94" s="18" t="s">
        <v>290</v>
      </c>
      <c r="B94" s="19" t="s">
        <v>291</v>
      </c>
      <c r="C94" s="19" t="s">
        <v>292</v>
      </c>
      <c r="D94" s="20">
        <v>4.6394783749999995</v>
      </c>
      <c r="E94" s="20">
        <v>25.707000000000001</v>
      </c>
      <c r="F94" s="1">
        <v>0.25741207809192057</v>
      </c>
      <c r="G94" s="42" t="s">
        <v>187</v>
      </c>
      <c r="J94" s="44"/>
      <c r="K94" s="35">
        <v>0.6714</v>
      </c>
      <c r="L94" s="35">
        <v>0.2833</v>
      </c>
      <c r="M94" s="35">
        <v>0</v>
      </c>
      <c r="N94" s="21"/>
      <c r="Q94" s="22" t="s">
        <v>187</v>
      </c>
      <c r="R94" s="2"/>
      <c r="S94" s="2"/>
      <c r="T94" s="2"/>
      <c r="U94" s="34">
        <f t="shared" si="1"/>
        <v>0.6714</v>
      </c>
    </row>
    <row r="95" spans="1:21" x14ac:dyDescent="0.2">
      <c r="A95" s="18" t="s">
        <v>293</v>
      </c>
      <c r="B95" s="19" t="s">
        <v>294</v>
      </c>
      <c r="C95" s="19" t="s">
        <v>295</v>
      </c>
      <c r="D95" s="20">
        <v>1.739705294</v>
      </c>
      <c r="E95" s="20">
        <v>2.40625</v>
      </c>
      <c r="F95" s="1">
        <v>6.2876031791723426</v>
      </c>
      <c r="G95" s="42"/>
      <c r="J95" s="44" t="s">
        <v>187</v>
      </c>
      <c r="K95" s="35">
        <v>0</v>
      </c>
      <c r="L95" s="35">
        <v>1.29E-2</v>
      </c>
      <c r="M95" s="35">
        <v>8.0999999999999996E-3</v>
      </c>
      <c r="N95" s="21"/>
      <c r="Q95" s="22"/>
      <c r="R95" s="2"/>
      <c r="S95" s="2"/>
      <c r="T95" s="2"/>
      <c r="U95" s="34">
        <f t="shared" si="1"/>
        <v>1.29E-2</v>
      </c>
    </row>
    <row r="96" spans="1:21" x14ac:dyDescent="0.2">
      <c r="A96" s="18" t="s">
        <v>296</v>
      </c>
      <c r="B96" s="19" t="s">
        <v>297</v>
      </c>
      <c r="C96" s="19" t="s">
        <v>298</v>
      </c>
      <c r="D96" s="20">
        <v>0.28455171350000003</v>
      </c>
      <c r="E96" s="20">
        <v>2.3263106329999999</v>
      </c>
      <c r="F96" s="1">
        <v>0.1401768691856691</v>
      </c>
      <c r="G96" s="42"/>
      <c r="I96" s="43" t="s">
        <v>187</v>
      </c>
      <c r="J96" s="44"/>
      <c r="K96" s="35">
        <v>0</v>
      </c>
      <c r="L96" s="35">
        <v>0.1875</v>
      </c>
      <c r="M96" s="35">
        <v>0.64159999999999995</v>
      </c>
      <c r="N96" s="21"/>
      <c r="O96" s="2" t="s">
        <v>187</v>
      </c>
      <c r="Q96" s="22"/>
      <c r="R96" s="2"/>
      <c r="S96" s="2"/>
      <c r="T96" s="2"/>
      <c r="U96" s="34">
        <f t="shared" si="1"/>
        <v>0.64159999999999995</v>
      </c>
    </row>
    <row r="97" spans="1:21" x14ac:dyDescent="0.2">
      <c r="A97" s="18" t="s">
        <v>299</v>
      </c>
      <c r="B97" s="19" t="s">
        <v>300</v>
      </c>
      <c r="C97" s="19" t="s">
        <v>301</v>
      </c>
      <c r="D97" s="20">
        <v>1.047807543</v>
      </c>
      <c r="E97" s="20">
        <v>1.8177191260000001</v>
      </c>
      <c r="F97" s="1">
        <v>1.9749740084813723</v>
      </c>
      <c r="G97" s="42"/>
      <c r="J97" s="44" t="s">
        <v>187</v>
      </c>
      <c r="K97" s="35">
        <v>0</v>
      </c>
      <c r="L97" s="35">
        <v>9.4000000000000004E-3</v>
      </c>
      <c r="M97" s="35">
        <v>0.26350000000000001</v>
      </c>
      <c r="N97" s="21"/>
      <c r="Q97" s="22"/>
      <c r="R97" s="2"/>
      <c r="S97" s="2"/>
      <c r="T97" s="2"/>
      <c r="U97" s="34">
        <f t="shared" si="1"/>
        <v>0.26350000000000001</v>
      </c>
    </row>
    <row r="98" spans="1:21" x14ac:dyDescent="0.2">
      <c r="A98" s="18" t="s">
        <v>302</v>
      </c>
      <c r="B98" s="19" t="s">
        <v>303</v>
      </c>
      <c r="C98" s="19" t="s">
        <v>304</v>
      </c>
      <c r="D98" s="20">
        <v>0.28114650533333335</v>
      </c>
      <c r="E98" s="20">
        <v>16.350000000000001</v>
      </c>
      <c r="F98" s="1">
        <v>0</v>
      </c>
      <c r="G98" s="42"/>
      <c r="H98" s="43" t="s">
        <v>187</v>
      </c>
      <c r="J98" s="44"/>
      <c r="K98" s="35">
        <v>0</v>
      </c>
      <c r="L98" s="35">
        <v>0.80859999999999999</v>
      </c>
      <c r="M98" s="35">
        <v>4.0000000000000001E-3</v>
      </c>
      <c r="N98" s="21"/>
      <c r="O98" s="2" t="s">
        <v>187</v>
      </c>
      <c r="Q98" s="22"/>
      <c r="R98" s="2"/>
      <c r="S98" s="2"/>
      <c r="T98" s="2"/>
      <c r="U98" s="34">
        <f t="shared" si="1"/>
        <v>0.80859999999999999</v>
      </c>
    </row>
    <row r="99" spans="1:21" x14ac:dyDescent="0.2">
      <c r="A99" s="18" t="s">
        <v>305</v>
      </c>
      <c r="B99" s="19" t="s">
        <v>306</v>
      </c>
      <c r="C99" s="19" t="s">
        <v>307</v>
      </c>
      <c r="D99" s="20">
        <v>0.20605999999999999</v>
      </c>
      <c r="E99" s="20">
        <v>10.764146780000001</v>
      </c>
      <c r="F99" s="1">
        <v>0</v>
      </c>
      <c r="G99" s="42"/>
      <c r="H99" s="43" t="s">
        <v>187</v>
      </c>
      <c r="J99" s="44"/>
      <c r="K99" s="35">
        <v>0</v>
      </c>
      <c r="L99" s="35">
        <v>0.82289999999999996</v>
      </c>
      <c r="M99" s="35">
        <v>5.8999999999999999E-3</v>
      </c>
      <c r="N99" s="21"/>
      <c r="O99" s="2" t="s">
        <v>187</v>
      </c>
      <c r="Q99" s="22"/>
      <c r="R99" s="2"/>
      <c r="S99" s="2"/>
      <c r="T99" s="2"/>
      <c r="U99" s="34">
        <f t="shared" si="1"/>
        <v>0.82289999999999996</v>
      </c>
    </row>
    <row r="100" spans="1:21" x14ac:dyDescent="0.2">
      <c r="A100" s="18" t="s">
        <v>308</v>
      </c>
      <c r="B100" s="19" t="s">
        <v>309</v>
      </c>
      <c r="C100" s="19" t="s">
        <v>310</v>
      </c>
      <c r="D100" s="20">
        <v>3.4931130022500003</v>
      </c>
      <c r="E100" s="20">
        <v>9.4610165297500011</v>
      </c>
      <c r="F100" s="1">
        <v>0.39549902377389251</v>
      </c>
      <c r="G100" s="42" t="s">
        <v>187</v>
      </c>
      <c r="J100" s="44"/>
      <c r="K100" s="35">
        <v>0.60060000000000002</v>
      </c>
      <c r="L100" s="35">
        <v>0.26240000000000002</v>
      </c>
      <c r="M100" s="35">
        <v>0</v>
      </c>
      <c r="N100" s="21"/>
      <c r="Q100" s="22" t="s">
        <v>187</v>
      </c>
      <c r="R100" s="2"/>
      <c r="S100" s="2"/>
      <c r="T100" s="2"/>
      <c r="U100" s="34">
        <f t="shared" si="1"/>
        <v>0.60060000000000002</v>
      </c>
    </row>
    <row r="101" spans="1:21" x14ac:dyDescent="0.2">
      <c r="A101" s="18" t="s">
        <v>311</v>
      </c>
      <c r="B101" s="19" t="s">
        <v>312</v>
      </c>
      <c r="C101" s="19" t="s">
        <v>313</v>
      </c>
      <c r="D101" s="20">
        <v>0.95622799066666664</v>
      </c>
      <c r="E101" s="20">
        <v>3.3775105180000002</v>
      </c>
      <c r="F101" s="1">
        <v>42.175713065182222</v>
      </c>
      <c r="G101" s="42"/>
      <c r="J101" s="44" t="s">
        <v>187</v>
      </c>
      <c r="K101" s="35">
        <v>0</v>
      </c>
      <c r="L101" s="35">
        <v>0.45500000000000002</v>
      </c>
      <c r="M101" s="35">
        <v>0.1055</v>
      </c>
      <c r="N101" s="21"/>
      <c r="Q101" s="22"/>
      <c r="R101" s="2"/>
      <c r="S101" s="2"/>
      <c r="T101" s="2"/>
      <c r="U101" s="34">
        <f t="shared" si="1"/>
        <v>0.45500000000000002</v>
      </c>
    </row>
    <row r="102" spans="1:21" x14ac:dyDescent="0.2">
      <c r="A102" s="18" t="s">
        <v>314</v>
      </c>
      <c r="B102" s="19" t="s">
        <v>315</v>
      </c>
      <c r="C102" s="19" t="s">
        <v>316</v>
      </c>
      <c r="D102" s="20">
        <v>1.1319478677500001</v>
      </c>
      <c r="E102" s="20">
        <v>2.8517247746666672</v>
      </c>
      <c r="F102" s="1">
        <v>45.92619586299049</v>
      </c>
      <c r="G102" s="42"/>
      <c r="J102" s="44" t="s">
        <v>187</v>
      </c>
      <c r="K102" s="35">
        <v>0</v>
      </c>
      <c r="L102" s="35">
        <v>0.17319999999999999</v>
      </c>
      <c r="M102" s="35">
        <v>9.4200000000000006E-2</v>
      </c>
      <c r="N102" s="21"/>
      <c r="Q102" s="22"/>
      <c r="R102" s="2"/>
      <c r="S102" s="2"/>
      <c r="T102" s="2"/>
      <c r="U102" s="34">
        <f t="shared" si="1"/>
        <v>0.17319999999999999</v>
      </c>
    </row>
    <row r="103" spans="1:21" x14ac:dyDescent="0.2">
      <c r="A103" s="18" t="s">
        <v>317</v>
      </c>
      <c r="B103" s="19" t="s">
        <v>318</v>
      </c>
      <c r="C103" s="19" t="s">
        <v>319</v>
      </c>
      <c r="D103" s="20">
        <v>11.381326792499999</v>
      </c>
      <c r="E103" s="20">
        <v>19.91734873475</v>
      </c>
      <c r="F103" s="1">
        <v>0.83054794992509728</v>
      </c>
      <c r="G103" s="42" t="s">
        <v>187</v>
      </c>
      <c r="J103" s="44"/>
      <c r="K103" s="35">
        <v>0.98429999999999995</v>
      </c>
      <c r="L103" s="35">
        <v>2E-3</v>
      </c>
      <c r="M103" s="35">
        <v>0</v>
      </c>
      <c r="N103" s="21"/>
      <c r="Q103" s="22" t="s">
        <v>187</v>
      </c>
      <c r="R103" s="2"/>
      <c r="S103" s="2"/>
      <c r="T103" s="2"/>
      <c r="U103" s="34">
        <f t="shared" si="1"/>
        <v>0.98429999999999995</v>
      </c>
    </row>
    <row r="104" spans="1:21" x14ac:dyDescent="0.2">
      <c r="A104" s="18" t="s">
        <v>320</v>
      </c>
      <c r="B104" s="19" t="s">
        <v>321</v>
      </c>
      <c r="C104" s="19" t="s">
        <v>322</v>
      </c>
      <c r="D104" s="20">
        <v>0.36567738899999996</v>
      </c>
      <c r="E104" s="20">
        <v>0.20125726099999999</v>
      </c>
      <c r="F104" s="1">
        <v>8.8356164885646779E-2</v>
      </c>
      <c r="G104" s="42"/>
      <c r="I104" s="43" t="s">
        <v>187</v>
      </c>
      <c r="J104" s="44"/>
      <c r="K104" s="35">
        <v>0</v>
      </c>
      <c r="L104" s="35">
        <v>0</v>
      </c>
      <c r="M104" s="35">
        <v>0.96889999999999998</v>
      </c>
      <c r="N104" s="21" t="s">
        <v>187</v>
      </c>
      <c r="Q104" s="22"/>
      <c r="R104" s="2"/>
      <c r="S104" s="2"/>
      <c r="T104" s="2"/>
      <c r="U104" s="34">
        <f t="shared" si="1"/>
        <v>0.96889999999999998</v>
      </c>
    </row>
    <row r="105" spans="1:21" x14ac:dyDescent="0.2">
      <c r="A105" s="18" t="s">
        <v>323</v>
      </c>
      <c r="B105" s="19" t="s">
        <v>324</v>
      </c>
      <c r="C105" s="19" t="s">
        <v>325</v>
      </c>
      <c r="D105" s="20">
        <v>0.37165049999999999</v>
      </c>
      <c r="E105" s="20">
        <v>2.7534555869999999</v>
      </c>
      <c r="F105" s="1">
        <v>0.77863870305508542</v>
      </c>
      <c r="G105" s="42"/>
      <c r="I105" s="43" t="s">
        <v>187</v>
      </c>
      <c r="J105" s="44"/>
      <c r="K105" s="35">
        <v>0</v>
      </c>
      <c r="L105" s="35">
        <v>0.30990000000000001</v>
      </c>
      <c r="M105" s="35">
        <v>0.52990000000000004</v>
      </c>
      <c r="N105" s="21" t="s">
        <v>187</v>
      </c>
      <c r="Q105" s="22"/>
      <c r="R105" s="2"/>
      <c r="S105" s="2"/>
      <c r="T105" s="2"/>
      <c r="U105" s="34">
        <f t="shared" si="1"/>
        <v>0.52990000000000004</v>
      </c>
    </row>
    <row r="106" spans="1:21" x14ac:dyDescent="0.2">
      <c r="A106" s="18" t="s">
        <v>326</v>
      </c>
      <c r="B106" s="19" t="s">
        <v>327</v>
      </c>
      <c r="C106" s="19" t="s">
        <v>328</v>
      </c>
      <c r="D106" s="20">
        <v>0.8095749333333333</v>
      </c>
      <c r="E106" s="20">
        <v>2.4514097184999999</v>
      </c>
      <c r="F106" s="1">
        <v>0.38451293978008061</v>
      </c>
      <c r="G106" s="42"/>
      <c r="J106" s="44" t="s">
        <v>187</v>
      </c>
      <c r="K106" s="35">
        <v>0</v>
      </c>
      <c r="L106" s="35">
        <v>0.1217</v>
      </c>
      <c r="M106" s="35">
        <v>0.40089999999999998</v>
      </c>
      <c r="N106" s="21" t="s">
        <v>187</v>
      </c>
      <c r="Q106" s="22"/>
      <c r="R106" s="2"/>
      <c r="S106" s="2"/>
      <c r="T106" s="2"/>
      <c r="U106" s="34">
        <f t="shared" si="1"/>
        <v>0.40089999999999998</v>
      </c>
    </row>
    <row r="107" spans="1:21" x14ac:dyDescent="0.2">
      <c r="A107" s="18" t="s">
        <v>329</v>
      </c>
      <c r="B107" s="19" t="s">
        <v>330</v>
      </c>
      <c r="C107" s="19" t="s">
        <v>331</v>
      </c>
      <c r="D107" s="20">
        <v>0.9197550605</v>
      </c>
      <c r="E107" s="20">
        <v>12.573960680333334</v>
      </c>
      <c r="F107" s="1">
        <v>19.294637378508288</v>
      </c>
      <c r="G107" s="42"/>
      <c r="H107" s="43" t="s">
        <v>187</v>
      </c>
      <c r="J107" s="44"/>
      <c r="K107" s="35">
        <v>2.9999999999999997E-4</v>
      </c>
      <c r="L107" s="35">
        <v>0.97440000000000004</v>
      </c>
      <c r="M107" s="35">
        <v>4.0000000000000002E-4</v>
      </c>
      <c r="N107" s="21"/>
      <c r="O107" s="2" t="s">
        <v>187</v>
      </c>
      <c r="Q107" s="22"/>
      <c r="R107" s="2"/>
      <c r="S107" s="2"/>
      <c r="T107" s="2"/>
      <c r="U107" s="34">
        <f t="shared" si="1"/>
        <v>0.97440000000000004</v>
      </c>
    </row>
    <row r="108" spans="1:21" x14ac:dyDescent="0.2">
      <c r="A108" s="18" t="s">
        <v>332</v>
      </c>
      <c r="B108" s="19" t="s">
        <v>333</v>
      </c>
      <c r="C108" s="19" t="s">
        <v>334</v>
      </c>
      <c r="D108" s="20">
        <v>0.58622372733333339</v>
      </c>
      <c r="E108" s="20">
        <v>2.0762395150000001</v>
      </c>
      <c r="F108" s="1">
        <v>28.062877962899773</v>
      </c>
      <c r="G108" s="42"/>
      <c r="I108" s="43" t="s">
        <v>187</v>
      </c>
      <c r="J108" s="44"/>
      <c r="K108" s="35">
        <v>0</v>
      </c>
      <c r="L108" s="35">
        <v>4.8500000000000001E-2</v>
      </c>
      <c r="M108" s="35">
        <v>0.71860000000000002</v>
      </c>
      <c r="N108" s="21"/>
      <c r="O108" s="2" t="s">
        <v>187</v>
      </c>
      <c r="Q108" s="22"/>
      <c r="R108" s="2"/>
      <c r="S108" s="2"/>
      <c r="T108" s="2"/>
      <c r="U108" s="34">
        <f t="shared" si="1"/>
        <v>0.71860000000000002</v>
      </c>
    </row>
    <row r="109" spans="1:21" x14ac:dyDescent="0.2">
      <c r="A109" s="18" t="s">
        <v>335</v>
      </c>
      <c r="B109" s="19" t="s">
        <v>336</v>
      </c>
      <c r="C109" s="19" t="s">
        <v>337</v>
      </c>
      <c r="D109" s="20">
        <v>1.6762948437499998</v>
      </c>
      <c r="E109" s="20">
        <v>3.6233023813333332</v>
      </c>
      <c r="F109" s="1">
        <v>41.732059483555375</v>
      </c>
      <c r="G109" s="42"/>
      <c r="J109" s="44" t="s">
        <v>187</v>
      </c>
      <c r="K109" s="35">
        <v>4.0000000000000002E-4</v>
      </c>
      <c r="L109" s="35">
        <v>0.20569999999999999</v>
      </c>
      <c r="M109" s="35">
        <v>5.0000000000000001E-3</v>
      </c>
      <c r="N109" s="21"/>
      <c r="Q109" s="22"/>
      <c r="R109" s="2"/>
      <c r="S109" s="2"/>
      <c r="T109" s="2"/>
      <c r="U109" s="34">
        <f t="shared" si="1"/>
        <v>0.20569999999999999</v>
      </c>
    </row>
    <row r="110" spans="1:21" x14ac:dyDescent="0.2">
      <c r="A110" s="18" t="s">
        <v>338</v>
      </c>
      <c r="B110" s="19" t="s">
        <v>339</v>
      </c>
      <c r="C110" s="19" t="s">
        <v>340</v>
      </c>
      <c r="D110" s="20">
        <v>13.593676054499999</v>
      </c>
      <c r="E110" s="20">
        <v>22.9654417275</v>
      </c>
      <c r="F110" s="1">
        <v>0.65751712702392595</v>
      </c>
      <c r="G110" s="42" t="s">
        <v>187</v>
      </c>
      <c r="J110" s="44"/>
      <c r="K110" s="35">
        <v>0.98150000000000004</v>
      </c>
      <c r="L110" s="35">
        <v>1.6000000000000001E-3</v>
      </c>
      <c r="M110" s="35">
        <v>0</v>
      </c>
      <c r="N110" s="21"/>
      <c r="Q110" s="22" t="s">
        <v>187</v>
      </c>
      <c r="R110" s="2"/>
      <c r="S110" s="2"/>
      <c r="T110" s="2"/>
      <c r="U110" s="34">
        <f t="shared" si="1"/>
        <v>0.98150000000000004</v>
      </c>
    </row>
    <row r="111" spans="1:21" x14ac:dyDescent="0.2">
      <c r="A111" s="18" t="s">
        <v>341</v>
      </c>
      <c r="B111" s="19" t="s">
        <v>342</v>
      </c>
      <c r="C111" s="19" t="s">
        <v>343</v>
      </c>
      <c r="D111" s="20">
        <v>1.9570719647499999</v>
      </c>
      <c r="E111" s="20">
        <v>9.5301565219999986</v>
      </c>
      <c r="F111" s="1">
        <v>0.50998558328756305</v>
      </c>
      <c r="G111" s="42"/>
      <c r="H111" s="43" t="s">
        <v>187</v>
      </c>
      <c r="J111" s="44"/>
      <c r="K111" s="35">
        <v>3.9100000000000003E-2</v>
      </c>
      <c r="L111" s="35">
        <v>0.88039999999999996</v>
      </c>
      <c r="M111" s="35">
        <v>0</v>
      </c>
      <c r="N111" s="21"/>
      <c r="O111" s="2" t="s">
        <v>187</v>
      </c>
      <c r="Q111" s="22"/>
      <c r="R111" s="2"/>
      <c r="S111" s="2"/>
      <c r="T111" s="2"/>
      <c r="U111" s="34">
        <f t="shared" si="1"/>
        <v>0.88039999999999996</v>
      </c>
    </row>
    <row r="112" spans="1:21" x14ac:dyDescent="0.2">
      <c r="A112" s="18" t="s">
        <v>344</v>
      </c>
      <c r="B112" s="19" t="s">
        <v>345</v>
      </c>
      <c r="C112" s="19" t="s">
        <v>346</v>
      </c>
      <c r="D112" s="20">
        <v>0.64147999100000008</v>
      </c>
      <c r="E112" s="20">
        <v>3.5234948335</v>
      </c>
      <c r="F112" s="1">
        <v>0.33221917996998507</v>
      </c>
      <c r="G112" s="42"/>
      <c r="H112" s="49" t="s">
        <v>187</v>
      </c>
      <c r="J112" s="44"/>
      <c r="K112" s="35">
        <v>0</v>
      </c>
      <c r="L112" s="35">
        <v>0.5948</v>
      </c>
      <c r="M112" s="35">
        <v>0.20280000000000001</v>
      </c>
      <c r="N112" s="21"/>
      <c r="O112" s="2" t="s">
        <v>187</v>
      </c>
      <c r="Q112" s="22"/>
      <c r="R112" s="2"/>
      <c r="S112" s="2"/>
      <c r="T112" s="2"/>
      <c r="U112" s="34">
        <f t="shared" si="1"/>
        <v>0.5948</v>
      </c>
    </row>
    <row r="113" spans="1:21" x14ac:dyDescent="0.2">
      <c r="A113" s="18" t="s">
        <v>347</v>
      </c>
      <c r="B113" s="19" t="s">
        <v>348</v>
      </c>
      <c r="C113" s="19" t="s">
        <v>349</v>
      </c>
      <c r="D113" s="20">
        <v>0.9709221375</v>
      </c>
      <c r="E113" s="20">
        <v>7.2527726253333329</v>
      </c>
      <c r="F113" s="1">
        <v>9.0770267751362904E-2</v>
      </c>
      <c r="G113" s="42"/>
      <c r="H113" s="43" t="s">
        <v>187</v>
      </c>
      <c r="J113" s="44"/>
      <c r="K113" s="35">
        <v>2.0000000000000001E-4</v>
      </c>
      <c r="L113" s="35">
        <v>0.94740000000000002</v>
      </c>
      <c r="M113" s="35">
        <v>2.3999999999999998E-3</v>
      </c>
      <c r="N113" s="21"/>
      <c r="O113" s="2" t="s">
        <v>187</v>
      </c>
      <c r="Q113" s="22"/>
      <c r="R113" s="2"/>
      <c r="S113" s="2"/>
      <c r="T113" s="2"/>
      <c r="U113" s="34">
        <f t="shared" si="1"/>
        <v>0.94740000000000002</v>
      </c>
    </row>
    <row r="114" spans="1:21" x14ac:dyDescent="0.2">
      <c r="A114" s="18" t="s">
        <v>350</v>
      </c>
      <c r="B114" s="19" t="s">
        <v>351</v>
      </c>
      <c r="C114" s="19" t="s">
        <v>352</v>
      </c>
      <c r="D114" s="20">
        <v>0.31068368299999999</v>
      </c>
      <c r="E114" s="20">
        <v>5.2566229312499999</v>
      </c>
      <c r="F114" s="1">
        <v>0.38155514793572592</v>
      </c>
      <c r="G114" s="42"/>
      <c r="H114" s="43" t="s">
        <v>187</v>
      </c>
      <c r="J114" s="44"/>
      <c r="K114" s="35">
        <v>0</v>
      </c>
      <c r="L114" s="35">
        <v>0.88190000000000002</v>
      </c>
      <c r="M114" s="35">
        <v>4.9399999999999999E-2</v>
      </c>
      <c r="N114" s="21"/>
      <c r="O114" s="2" t="s">
        <v>187</v>
      </c>
      <c r="Q114" s="22"/>
      <c r="R114" s="2"/>
      <c r="S114" s="2"/>
      <c r="T114" s="2"/>
      <c r="U114" s="34">
        <f t="shared" si="1"/>
        <v>0.88190000000000002</v>
      </c>
    </row>
    <row r="115" spans="1:21" x14ac:dyDescent="0.2">
      <c r="A115" s="18" t="s">
        <v>353</v>
      </c>
      <c r="B115" s="19" t="s">
        <v>354</v>
      </c>
      <c r="C115" s="19" t="s">
        <v>355</v>
      </c>
      <c r="D115" s="20">
        <v>0.2659847615</v>
      </c>
      <c r="E115" s="20">
        <v>9.2512455999999993E-2</v>
      </c>
      <c r="F115" s="1">
        <v>0.56499860539161773</v>
      </c>
      <c r="G115" s="42"/>
      <c r="I115" s="43" t="s">
        <v>187</v>
      </c>
      <c r="J115" s="44"/>
      <c r="K115" s="35">
        <v>0</v>
      </c>
      <c r="L115" s="35">
        <v>0</v>
      </c>
      <c r="M115" s="35">
        <v>0.95950000000000002</v>
      </c>
      <c r="N115" s="21"/>
      <c r="O115" s="2" t="s">
        <v>187</v>
      </c>
      <c r="Q115" s="22"/>
      <c r="R115" s="2"/>
      <c r="S115" s="2"/>
      <c r="T115" s="2"/>
      <c r="U115" s="34">
        <f t="shared" si="1"/>
        <v>0.95950000000000002</v>
      </c>
    </row>
    <row r="116" spans="1:21" x14ac:dyDescent="0.2">
      <c r="A116" s="18" t="s">
        <v>356</v>
      </c>
      <c r="B116" s="19" t="s">
        <v>357</v>
      </c>
      <c r="C116" s="19" t="s">
        <v>358</v>
      </c>
      <c r="D116" s="20">
        <v>1.1706055535000002</v>
      </c>
      <c r="E116" s="20">
        <v>2.0322221484999998</v>
      </c>
      <c r="F116" s="1">
        <v>0.5203934523344379</v>
      </c>
      <c r="G116" s="42"/>
      <c r="J116" s="44" t="s">
        <v>187</v>
      </c>
      <c r="K116" s="35">
        <v>0</v>
      </c>
      <c r="L116" s="35">
        <v>1.66E-2</v>
      </c>
      <c r="M116" s="35">
        <v>0.1406</v>
      </c>
      <c r="N116" s="21"/>
      <c r="Q116" s="22"/>
      <c r="R116" s="2"/>
      <c r="S116" s="2"/>
      <c r="T116" s="2"/>
      <c r="U116" s="34">
        <f t="shared" si="1"/>
        <v>0.1406</v>
      </c>
    </row>
    <row r="117" spans="1:21" x14ac:dyDescent="0.2">
      <c r="A117" s="18" t="s">
        <v>359</v>
      </c>
      <c r="B117" s="19" t="s">
        <v>360</v>
      </c>
      <c r="C117" s="19" t="s">
        <v>361</v>
      </c>
      <c r="D117" s="20">
        <v>0.45806303375000001</v>
      </c>
      <c r="E117" s="20">
        <v>0.40918323266666667</v>
      </c>
      <c r="F117" s="1">
        <v>1.159306513437439</v>
      </c>
      <c r="G117" s="42"/>
      <c r="I117" s="43" t="s">
        <v>187</v>
      </c>
      <c r="J117" s="44"/>
      <c r="K117" s="35">
        <v>0</v>
      </c>
      <c r="L117" s="35">
        <v>0</v>
      </c>
      <c r="M117" s="35">
        <v>0.95689999999999997</v>
      </c>
      <c r="N117" s="21" t="s">
        <v>187</v>
      </c>
      <c r="Q117" s="22"/>
      <c r="R117" s="2"/>
      <c r="S117" s="2"/>
      <c r="T117" s="2"/>
      <c r="U117" s="34">
        <f t="shared" si="1"/>
        <v>0.95689999999999997</v>
      </c>
    </row>
    <row r="118" spans="1:21" x14ac:dyDescent="0.2">
      <c r="A118" s="18" t="s">
        <v>362</v>
      </c>
      <c r="B118" s="19" t="s">
        <v>363</v>
      </c>
      <c r="C118" s="19" t="s">
        <v>364</v>
      </c>
      <c r="D118" s="20">
        <v>0.98296480900000005</v>
      </c>
      <c r="E118" s="20">
        <v>9.0982000000000003</v>
      </c>
      <c r="F118" s="1">
        <v>0</v>
      </c>
      <c r="G118" s="42"/>
      <c r="H118" s="43" t="s">
        <v>187</v>
      </c>
      <c r="J118" s="44"/>
      <c r="K118" s="35">
        <v>2.9999999999999997E-4</v>
      </c>
      <c r="L118" s="35">
        <v>0.96560000000000001</v>
      </c>
      <c r="M118" s="35">
        <v>8.9999999999999998E-4</v>
      </c>
      <c r="N118" s="21"/>
      <c r="O118" s="2" t="s">
        <v>187</v>
      </c>
      <c r="Q118" s="22"/>
      <c r="R118" s="2"/>
      <c r="S118" s="2"/>
      <c r="T118" s="2"/>
      <c r="U118" s="34">
        <f t="shared" si="1"/>
        <v>0.96560000000000001</v>
      </c>
    </row>
    <row r="119" spans="1:21" x14ac:dyDescent="0.2">
      <c r="A119" s="18" t="s">
        <v>365</v>
      </c>
      <c r="B119" s="19" t="s">
        <v>366</v>
      </c>
      <c r="C119" s="19" t="s">
        <v>367</v>
      </c>
      <c r="D119" s="20">
        <v>0.21818816499999999</v>
      </c>
      <c r="E119" s="20">
        <v>2.838892832</v>
      </c>
      <c r="F119" s="1">
        <v>0.11535388193407445</v>
      </c>
      <c r="G119" s="42"/>
      <c r="I119" s="43" t="s">
        <v>187</v>
      </c>
      <c r="J119" s="44"/>
      <c r="K119" s="35">
        <v>0</v>
      </c>
      <c r="L119" s="35">
        <v>0.49469999999999997</v>
      </c>
      <c r="M119" s="35">
        <v>0.29849999999999999</v>
      </c>
      <c r="N119" s="21"/>
      <c r="O119" s="2" t="s">
        <v>187</v>
      </c>
      <c r="Q119" s="22"/>
      <c r="R119" s="2"/>
      <c r="S119" s="2"/>
      <c r="T119" s="2"/>
      <c r="U119" s="34">
        <f t="shared" si="1"/>
        <v>0.49469999999999997</v>
      </c>
    </row>
    <row r="120" spans="1:21" x14ac:dyDescent="0.2">
      <c r="A120" s="18" t="s">
        <v>368</v>
      </c>
      <c r="B120" s="19" t="s">
        <v>369</v>
      </c>
      <c r="C120" s="19" t="s">
        <v>370</v>
      </c>
      <c r="D120" s="20">
        <v>0.97841</v>
      </c>
      <c r="E120" s="20">
        <v>6.7736909999999997E-2</v>
      </c>
      <c r="F120" s="1">
        <v>0.29142033330702433</v>
      </c>
      <c r="G120" s="42"/>
      <c r="I120" s="49" t="s">
        <v>187</v>
      </c>
      <c r="J120" s="44"/>
      <c r="K120" s="35">
        <v>0</v>
      </c>
      <c r="L120" s="35">
        <v>0</v>
      </c>
      <c r="M120" s="35">
        <v>0.26390000000000002</v>
      </c>
      <c r="N120" s="21"/>
      <c r="O120" s="2" t="s">
        <v>187</v>
      </c>
      <c r="Q120" s="22"/>
      <c r="R120" s="2"/>
      <c r="S120" s="2"/>
      <c r="T120" s="2"/>
      <c r="U120" s="34">
        <f t="shared" si="1"/>
        <v>0.26390000000000002</v>
      </c>
    </row>
    <row r="121" spans="1:21" x14ac:dyDescent="0.2">
      <c r="A121" s="18" t="s">
        <v>371</v>
      </c>
      <c r="B121" s="19" t="s">
        <v>372</v>
      </c>
      <c r="C121" s="19" t="s">
        <v>373</v>
      </c>
      <c r="D121" s="20">
        <v>1.2629358046666668</v>
      </c>
      <c r="E121" s="20">
        <v>8.9220000000000006</v>
      </c>
      <c r="F121" s="1">
        <v>4.194686615783761E-2</v>
      </c>
      <c r="G121" s="42"/>
      <c r="H121" s="43" t="s">
        <v>187</v>
      </c>
      <c r="J121" s="44"/>
      <c r="K121" s="35">
        <v>1.6999999999999999E-3</v>
      </c>
      <c r="L121" s="35">
        <v>0.95299999999999996</v>
      </c>
      <c r="M121" s="35">
        <v>2.9999999999999997E-4</v>
      </c>
      <c r="N121" s="21"/>
      <c r="O121" s="2" t="s">
        <v>187</v>
      </c>
      <c r="Q121" s="22"/>
      <c r="R121" s="2"/>
      <c r="S121" s="2"/>
      <c r="T121" s="2"/>
      <c r="U121" s="34">
        <f t="shared" si="1"/>
        <v>0.95299999999999996</v>
      </c>
    </row>
    <row r="122" spans="1:21" x14ac:dyDescent="0.2">
      <c r="A122" s="18" t="s">
        <v>374</v>
      </c>
      <c r="B122" s="19" t="s">
        <v>375</v>
      </c>
      <c r="C122" s="19" t="s">
        <v>376</v>
      </c>
      <c r="D122" s="20">
        <v>0.39520481299999999</v>
      </c>
      <c r="E122" s="20">
        <v>6.0566647726666671</v>
      </c>
      <c r="F122" s="1">
        <v>0.17913779312105702</v>
      </c>
      <c r="G122" s="42"/>
      <c r="H122" s="43" t="s">
        <v>187</v>
      </c>
      <c r="J122" s="44"/>
      <c r="K122" s="35">
        <v>0</v>
      </c>
      <c r="L122" s="35">
        <v>0.92079999999999995</v>
      </c>
      <c r="M122" s="35">
        <v>2.9399999999999999E-2</v>
      </c>
      <c r="N122" s="21"/>
      <c r="O122" s="2" t="s">
        <v>187</v>
      </c>
      <c r="Q122" s="22"/>
      <c r="R122" s="2"/>
      <c r="S122" s="2"/>
      <c r="T122" s="2"/>
      <c r="U122" s="34">
        <f t="shared" si="1"/>
        <v>0.92079999999999995</v>
      </c>
    </row>
    <row r="123" spans="1:21" x14ac:dyDescent="0.2">
      <c r="A123" s="18" t="s">
        <v>377</v>
      </c>
      <c r="B123" s="19" t="s">
        <v>378</v>
      </c>
      <c r="C123" s="19" t="s">
        <v>379</v>
      </c>
      <c r="D123" s="20">
        <v>8.1304483139999988</v>
      </c>
      <c r="E123" s="20">
        <v>16.339502629999998</v>
      </c>
      <c r="F123" s="1">
        <v>0.94311305669161016</v>
      </c>
      <c r="G123" s="42" t="s">
        <v>187</v>
      </c>
      <c r="J123" s="44"/>
      <c r="K123" s="35">
        <v>0.97919999999999996</v>
      </c>
      <c r="L123" s="35">
        <v>5.8999999999999999E-3</v>
      </c>
      <c r="M123" s="35">
        <v>0</v>
      </c>
      <c r="N123" s="21"/>
      <c r="P123" s="2" t="s">
        <v>187</v>
      </c>
      <c r="Q123" s="22"/>
      <c r="R123" s="2"/>
      <c r="S123" s="2"/>
      <c r="T123" s="2"/>
      <c r="U123" s="34">
        <f t="shared" si="1"/>
        <v>0.97919999999999996</v>
      </c>
    </row>
    <row r="124" spans="1:21" x14ac:dyDescent="0.2">
      <c r="A124" s="18" t="s">
        <v>380</v>
      </c>
      <c r="B124" s="19" t="s">
        <v>381</v>
      </c>
      <c r="C124" s="19" t="s">
        <v>382</v>
      </c>
      <c r="D124" s="20">
        <v>4.0056759854999999</v>
      </c>
      <c r="E124" s="20">
        <v>7.4504685830000001</v>
      </c>
      <c r="F124" s="1">
        <v>1.3073439952529833</v>
      </c>
      <c r="G124" s="42" t="s">
        <v>187</v>
      </c>
      <c r="J124" s="44"/>
      <c r="K124" s="35">
        <v>0.6099</v>
      </c>
      <c r="L124" s="35">
        <v>0.1104</v>
      </c>
      <c r="M124" s="35">
        <v>0</v>
      </c>
      <c r="N124" s="21"/>
      <c r="P124" s="2" t="s">
        <v>187</v>
      </c>
      <c r="Q124" s="22"/>
      <c r="R124" s="2"/>
      <c r="S124" s="2"/>
      <c r="T124" s="2"/>
      <c r="U124" s="34">
        <f t="shared" si="1"/>
        <v>0.6099</v>
      </c>
    </row>
    <row r="125" spans="1:21" x14ac:dyDescent="0.2">
      <c r="A125" s="18" t="s">
        <v>383</v>
      </c>
      <c r="B125" s="19" t="s">
        <v>384</v>
      </c>
      <c r="C125" s="19" t="s">
        <v>385</v>
      </c>
      <c r="D125" s="20">
        <v>0.85312590150000001</v>
      </c>
      <c r="E125" s="20">
        <v>2.976013333</v>
      </c>
      <c r="F125" s="1">
        <v>39.995236213186239</v>
      </c>
      <c r="G125" s="42"/>
      <c r="J125" s="44" t="s">
        <v>187</v>
      </c>
      <c r="K125" s="35">
        <v>0</v>
      </c>
      <c r="L125" s="35">
        <v>0.31769999999999998</v>
      </c>
      <c r="M125" s="35">
        <v>0.2268</v>
      </c>
      <c r="N125" s="21"/>
      <c r="Q125" s="22"/>
      <c r="R125" s="2"/>
      <c r="S125" s="2"/>
      <c r="T125" s="2"/>
      <c r="U125" s="34">
        <f t="shared" si="1"/>
        <v>0.31769999999999998</v>
      </c>
    </row>
    <row r="126" spans="1:21" x14ac:dyDescent="0.2">
      <c r="A126" s="18" t="s">
        <v>386</v>
      </c>
      <c r="B126" s="19" t="s">
        <v>387</v>
      </c>
      <c r="C126" s="19" t="s">
        <v>388</v>
      </c>
      <c r="D126" s="20">
        <v>0.97885669500000005</v>
      </c>
      <c r="E126" s="20">
        <v>3.7309174024999998</v>
      </c>
      <c r="F126" s="1" t="s">
        <v>47</v>
      </c>
      <c r="G126" s="42"/>
      <c r="J126" s="44" t="s">
        <v>187</v>
      </c>
      <c r="K126" s="35">
        <v>0</v>
      </c>
      <c r="L126" s="35">
        <v>0.57950000000000002</v>
      </c>
      <c r="M126" s="35">
        <v>6.4199999999999993E-2</v>
      </c>
      <c r="N126" s="21"/>
      <c r="Q126" s="22"/>
      <c r="R126" s="2"/>
      <c r="S126" s="2"/>
      <c r="T126" s="2"/>
      <c r="U126" s="34">
        <f t="shared" si="1"/>
        <v>0.57950000000000002</v>
      </c>
    </row>
    <row r="127" spans="1:21" x14ac:dyDescent="0.2">
      <c r="A127" s="18" t="s">
        <v>389</v>
      </c>
      <c r="B127" s="19" t="s">
        <v>390</v>
      </c>
      <c r="C127" s="19" t="s">
        <v>391</v>
      </c>
      <c r="D127" s="20">
        <v>0.5333190645</v>
      </c>
      <c r="E127" s="20">
        <v>0.79632546600000009</v>
      </c>
      <c r="F127" s="1">
        <v>1.5026976151494971</v>
      </c>
      <c r="G127" s="42"/>
      <c r="I127" s="43" t="s">
        <v>187</v>
      </c>
      <c r="J127" s="44"/>
      <c r="K127" s="35">
        <v>0</v>
      </c>
      <c r="L127" s="35">
        <v>0</v>
      </c>
      <c r="M127" s="35">
        <v>0.9194</v>
      </c>
      <c r="N127" s="21" t="s">
        <v>187</v>
      </c>
      <c r="Q127" s="22"/>
      <c r="R127" s="2"/>
      <c r="S127" s="2"/>
      <c r="T127" s="2"/>
      <c r="U127" s="34">
        <f t="shared" si="1"/>
        <v>0.9194</v>
      </c>
    </row>
    <row r="128" spans="1:21" x14ac:dyDescent="0.2">
      <c r="A128" s="18" t="s">
        <v>392</v>
      </c>
      <c r="B128" s="19" t="s">
        <v>393</v>
      </c>
      <c r="C128" s="19" t="s">
        <v>394</v>
      </c>
      <c r="D128" s="20">
        <v>0.54923648950000004</v>
      </c>
      <c r="E128" s="20">
        <v>4.1500878556666665</v>
      </c>
      <c r="F128" s="1">
        <v>97.866233432819527</v>
      </c>
      <c r="G128" s="42"/>
      <c r="H128" s="43" t="s">
        <v>187</v>
      </c>
      <c r="J128" s="44"/>
      <c r="K128" s="35">
        <v>0</v>
      </c>
      <c r="L128" s="35">
        <v>0.77049999999999996</v>
      </c>
      <c r="M128" s="35">
        <v>0.1167</v>
      </c>
      <c r="N128" s="21" t="s">
        <v>187</v>
      </c>
      <c r="Q128" s="22"/>
      <c r="R128" s="2"/>
      <c r="S128" s="2"/>
      <c r="T128" s="2"/>
      <c r="U128" s="34">
        <f t="shared" si="1"/>
        <v>0.77049999999999996</v>
      </c>
    </row>
    <row r="129" spans="1:21" x14ac:dyDescent="0.2">
      <c r="A129" s="18" t="s">
        <v>395</v>
      </c>
      <c r="B129" s="19" t="s">
        <v>396</v>
      </c>
      <c r="C129" s="19" t="s">
        <v>397</v>
      </c>
      <c r="D129" s="20">
        <v>0.62410346400000005</v>
      </c>
      <c r="E129" s="20">
        <v>18.391979329999998</v>
      </c>
      <c r="F129" s="1">
        <v>0.47583476297782801</v>
      </c>
      <c r="G129" s="42"/>
      <c r="H129" s="43" t="s">
        <v>187</v>
      </c>
      <c r="J129" s="44"/>
      <c r="K129" s="35">
        <v>0</v>
      </c>
      <c r="L129" s="35">
        <v>0.9526</v>
      </c>
      <c r="M129" s="35">
        <v>6.9999999999999999E-4</v>
      </c>
      <c r="N129" s="21"/>
      <c r="O129" s="2" t="s">
        <v>187</v>
      </c>
      <c r="Q129" s="22"/>
      <c r="R129" s="2"/>
      <c r="S129" s="2"/>
      <c r="T129" s="2"/>
      <c r="U129" s="34">
        <f t="shared" si="1"/>
        <v>0.9526</v>
      </c>
    </row>
    <row r="130" spans="1:21" x14ac:dyDescent="0.2">
      <c r="A130" s="18" t="s">
        <v>398</v>
      </c>
      <c r="B130" s="19" t="s">
        <v>399</v>
      </c>
      <c r="C130" s="19" t="s">
        <v>400</v>
      </c>
      <c r="D130" s="20">
        <v>0.75620400566666668</v>
      </c>
      <c r="E130" s="20" t="s">
        <v>180</v>
      </c>
      <c r="F130" s="1">
        <v>1.3524278536336622</v>
      </c>
      <c r="G130" s="42"/>
      <c r="H130" s="43" t="s">
        <v>187</v>
      </c>
      <c r="J130" s="44"/>
      <c r="K130" s="35" t="e">
        <v>#N/A</v>
      </c>
      <c r="L130" s="35" t="e">
        <v>#N/A</v>
      </c>
      <c r="M130" s="35" t="e">
        <v>#N/A</v>
      </c>
      <c r="N130" s="21"/>
      <c r="O130" s="2" t="s">
        <v>187</v>
      </c>
      <c r="Q130" s="22"/>
      <c r="R130" s="2"/>
      <c r="S130" s="2"/>
      <c r="T130" s="2"/>
      <c r="U130" s="34" t="e">
        <f t="shared" ref="U130:U193" si="2">MAX(K130:M130)</f>
        <v>#N/A</v>
      </c>
    </row>
    <row r="131" spans="1:21" x14ac:dyDescent="0.2">
      <c r="A131" s="18" t="s">
        <v>401</v>
      </c>
      <c r="B131" s="19" t="s">
        <v>402</v>
      </c>
      <c r="C131" s="19" t="s">
        <v>403</v>
      </c>
      <c r="D131" s="20">
        <v>8.0418786972499987</v>
      </c>
      <c r="E131" s="20">
        <v>9.3361799997499997</v>
      </c>
      <c r="F131" s="1">
        <v>0.38028752285948642</v>
      </c>
      <c r="G131" s="42" t="s">
        <v>187</v>
      </c>
      <c r="J131" s="44"/>
      <c r="K131" s="35">
        <v>0.94389999999999996</v>
      </c>
      <c r="L131" s="35">
        <v>2.0999999999999999E-3</v>
      </c>
      <c r="M131" s="35">
        <v>0</v>
      </c>
      <c r="N131" s="21"/>
      <c r="Q131" s="22" t="s">
        <v>187</v>
      </c>
      <c r="R131" s="2"/>
      <c r="S131" s="2"/>
      <c r="T131" s="2"/>
      <c r="U131" s="34">
        <f t="shared" si="2"/>
        <v>0.94389999999999996</v>
      </c>
    </row>
    <row r="132" spans="1:21" x14ac:dyDescent="0.2">
      <c r="A132" s="18" t="s">
        <v>404</v>
      </c>
      <c r="B132" s="19" t="s">
        <v>405</v>
      </c>
      <c r="C132" s="19" t="s">
        <v>406</v>
      </c>
      <c r="D132" s="20">
        <v>0.386966953</v>
      </c>
      <c r="E132" s="20">
        <v>0.31960113800000001</v>
      </c>
      <c r="F132" s="1">
        <v>0</v>
      </c>
      <c r="G132" s="42"/>
      <c r="I132" s="43" t="s">
        <v>187</v>
      </c>
      <c r="J132" s="44"/>
      <c r="K132" s="35">
        <v>0</v>
      </c>
      <c r="L132" s="35">
        <v>0</v>
      </c>
      <c r="M132" s="35">
        <v>0.96740000000000004</v>
      </c>
      <c r="N132" s="21"/>
      <c r="O132" s="2" t="s">
        <v>187</v>
      </c>
      <c r="Q132" s="22"/>
      <c r="R132" s="2"/>
      <c r="S132" s="2"/>
      <c r="T132" s="2"/>
      <c r="U132" s="34">
        <f t="shared" si="2"/>
        <v>0.96740000000000004</v>
      </c>
    </row>
    <row r="133" spans="1:21" x14ac:dyDescent="0.2">
      <c r="A133" s="18" t="s">
        <v>407</v>
      </c>
      <c r="B133" s="19" t="s">
        <v>408</v>
      </c>
      <c r="C133" s="19" t="s">
        <v>409</v>
      </c>
      <c r="D133" s="20">
        <v>8.6654658692499993</v>
      </c>
      <c r="E133" s="20">
        <v>22.762183750000002</v>
      </c>
      <c r="F133" s="1">
        <v>0.41376935911138041</v>
      </c>
      <c r="G133" s="42" t="s">
        <v>187</v>
      </c>
      <c r="J133" s="44"/>
      <c r="K133" s="35">
        <v>0.9708</v>
      </c>
      <c r="L133" s="35">
        <v>1.21E-2</v>
      </c>
      <c r="M133" s="35">
        <v>0</v>
      </c>
      <c r="N133" s="21"/>
      <c r="Q133" s="22" t="s">
        <v>187</v>
      </c>
      <c r="R133" s="2"/>
      <c r="S133" s="2"/>
      <c r="T133" s="2"/>
      <c r="U133" s="34">
        <f t="shared" si="2"/>
        <v>0.9708</v>
      </c>
    </row>
    <row r="134" spans="1:21" x14ac:dyDescent="0.2">
      <c r="A134" s="18" t="s">
        <v>410</v>
      </c>
      <c r="B134" s="19" t="s">
        <v>411</v>
      </c>
      <c r="C134" s="19" t="s">
        <v>412</v>
      </c>
      <c r="D134" s="20">
        <v>0.56246346925000001</v>
      </c>
      <c r="E134" s="20">
        <v>12.678003874999998</v>
      </c>
      <c r="F134" s="1">
        <v>0.26131185499340576</v>
      </c>
      <c r="G134" s="42"/>
      <c r="H134" s="43" t="s">
        <v>187</v>
      </c>
      <c r="J134" s="44"/>
      <c r="K134" s="35">
        <v>0</v>
      </c>
      <c r="L134" s="35">
        <v>0.96630000000000005</v>
      </c>
      <c r="M134" s="35">
        <v>1.9E-3</v>
      </c>
      <c r="N134" s="21"/>
      <c r="O134" s="2" t="s">
        <v>187</v>
      </c>
      <c r="Q134" s="22"/>
      <c r="R134" s="2"/>
      <c r="S134" s="2"/>
      <c r="T134" s="2"/>
      <c r="U134" s="34">
        <f t="shared" si="2"/>
        <v>0.96630000000000005</v>
      </c>
    </row>
    <row r="135" spans="1:21" x14ac:dyDescent="0.2">
      <c r="A135" s="18" t="s">
        <v>413</v>
      </c>
      <c r="B135" s="19" t="s">
        <v>414</v>
      </c>
      <c r="C135" s="19" t="s">
        <v>415</v>
      </c>
      <c r="D135" s="20">
        <v>20.122118100000002</v>
      </c>
      <c r="E135" s="20">
        <v>27.885483500000003</v>
      </c>
      <c r="F135" s="1">
        <v>0.30976147316552843</v>
      </c>
      <c r="G135" s="42" t="s">
        <v>187</v>
      </c>
      <c r="J135" s="44"/>
      <c r="K135" s="35">
        <v>0.96130000000000004</v>
      </c>
      <c r="L135" s="35">
        <v>6.9999999999999999E-4</v>
      </c>
      <c r="M135" s="35">
        <v>0</v>
      </c>
      <c r="N135" s="21"/>
      <c r="Q135" s="22" t="s">
        <v>187</v>
      </c>
      <c r="R135" s="2"/>
      <c r="S135" s="2"/>
      <c r="T135" s="2"/>
      <c r="U135" s="34">
        <f t="shared" si="2"/>
        <v>0.96130000000000004</v>
      </c>
    </row>
    <row r="136" spans="1:21" x14ac:dyDescent="0.2">
      <c r="A136" s="18" t="s">
        <v>416</v>
      </c>
      <c r="B136" s="19" t="s">
        <v>417</v>
      </c>
      <c r="C136" s="19" t="s">
        <v>418</v>
      </c>
      <c r="D136" s="20">
        <v>13.919484156499999</v>
      </c>
      <c r="E136" s="20">
        <v>19.79720438</v>
      </c>
      <c r="F136" s="1">
        <v>0.33314889782442858</v>
      </c>
      <c r="G136" s="42" t="s">
        <v>187</v>
      </c>
      <c r="J136" s="44"/>
      <c r="K136" s="35">
        <v>0.98429999999999995</v>
      </c>
      <c r="L136" s="35">
        <v>8.0000000000000004E-4</v>
      </c>
      <c r="M136" s="35">
        <v>0</v>
      </c>
      <c r="N136" s="21"/>
      <c r="Q136" s="22" t="s">
        <v>187</v>
      </c>
      <c r="R136" s="2"/>
      <c r="S136" s="2"/>
      <c r="T136" s="2"/>
      <c r="U136" s="34">
        <f t="shared" si="2"/>
        <v>0.98429999999999995</v>
      </c>
    </row>
    <row r="137" spans="1:21" x14ac:dyDescent="0.2">
      <c r="A137" s="18" t="s">
        <v>419</v>
      </c>
      <c r="B137" s="19" t="s">
        <v>420</v>
      </c>
      <c r="C137" s="19" t="s">
        <v>421</v>
      </c>
      <c r="D137" s="20">
        <v>14.223673447500001</v>
      </c>
      <c r="E137" s="20">
        <v>25.760941934999998</v>
      </c>
      <c r="F137" s="1">
        <v>0.43934782858355165</v>
      </c>
      <c r="G137" s="42" t="s">
        <v>187</v>
      </c>
      <c r="J137" s="44"/>
      <c r="K137" s="35">
        <v>0.97650000000000003</v>
      </c>
      <c r="L137" s="35">
        <v>2.0999999999999999E-3</v>
      </c>
      <c r="M137" s="35">
        <v>0</v>
      </c>
      <c r="N137" s="21"/>
      <c r="Q137" s="22" t="s">
        <v>187</v>
      </c>
      <c r="R137" s="2"/>
      <c r="S137" s="2"/>
      <c r="T137" s="2"/>
      <c r="U137" s="34">
        <f t="shared" si="2"/>
        <v>0.97650000000000003</v>
      </c>
    </row>
    <row r="138" spans="1:21" x14ac:dyDescent="0.2">
      <c r="A138" s="18" t="s">
        <v>422</v>
      </c>
      <c r="B138" s="19" t="s">
        <v>423</v>
      </c>
      <c r="C138" s="19" t="s">
        <v>424</v>
      </c>
      <c r="D138" s="20">
        <v>0.57074374233333336</v>
      </c>
      <c r="E138" s="20">
        <v>2.5691040479999998</v>
      </c>
      <c r="F138" s="1">
        <v>0.10330198382152768</v>
      </c>
      <c r="G138" s="42"/>
      <c r="I138" s="43" t="s">
        <v>187</v>
      </c>
      <c r="J138" s="44"/>
      <c r="K138" s="35">
        <v>0</v>
      </c>
      <c r="L138" s="35">
        <v>0.1865</v>
      </c>
      <c r="M138" s="35">
        <v>0.57020000000000004</v>
      </c>
      <c r="N138" s="21"/>
      <c r="O138" s="2" t="s">
        <v>187</v>
      </c>
      <c r="Q138" s="22"/>
      <c r="R138" s="2"/>
      <c r="S138" s="2"/>
      <c r="T138" s="2"/>
      <c r="U138" s="34">
        <f t="shared" si="2"/>
        <v>0.57020000000000004</v>
      </c>
    </row>
    <row r="139" spans="1:21" x14ac:dyDescent="0.2">
      <c r="A139" s="18" t="s">
        <v>425</v>
      </c>
      <c r="B139" s="19" t="s">
        <v>426</v>
      </c>
      <c r="C139" s="19" t="s">
        <v>427</v>
      </c>
      <c r="D139" s="20">
        <v>6.6790758007499997</v>
      </c>
      <c r="E139" s="20">
        <v>30.847213297500002</v>
      </c>
      <c r="F139" s="1">
        <v>0.22147945331365823</v>
      </c>
      <c r="G139" s="42" t="s">
        <v>187</v>
      </c>
      <c r="J139" s="44"/>
      <c r="K139" s="35">
        <v>0.83650000000000002</v>
      </c>
      <c r="L139" s="35">
        <v>0.1171</v>
      </c>
      <c r="M139" s="35">
        <v>0</v>
      </c>
      <c r="N139" s="21"/>
      <c r="P139" s="2" t="s">
        <v>187</v>
      </c>
      <c r="Q139" s="22"/>
      <c r="R139" s="2"/>
      <c r="S139" s="2"/>
      <c r="T139" s="2"/>
      <c r="U139" s="34">
        <f t="shared" si="2"/>
        <v>0.83650000000000002</v>
      </c>
    </row>
    <row r="140" spans="1:21" x14ac:dyDescent="0.2">
      <c r="A140" s="18" t="s">
        <v>428</v>
      </c>
      <c r="B140" s="19" t="s">
        <v>429</v>
      </c>
      <c r="C140" s="19" t="s">
        <v>430</v>
      </c>
      <c r="D140" s="20">
        <v>10.515551898749999</v>
      </c>
      <c r="E140" s="20">
        <v>9.4490656964999999</v>
      </c>
      <c r="F140" s="1">
        <v>0.41014713576603717</v>
      </c>
      <c r="G140" s="42" t="s">
        <v>187</v>
      </c>
      <c r="J140" s="44"/>
      <c r="K140" s="35">
        <v>0.94899999999999995</v>
      </c>
      <c r="L140" s="35">
        <v>4.0000000000000002E-4</v>
      </c>
      <c r="M140" s="35">
        <v>0</v>
      </c>
      <c r="N140" s="21"/>
      <c r="P140" s="2" t="s">
        <v>187</v>
      </c>
      <c r="Q140" s="22"/>
      <c r="R140" s="2"/>
      <c r="S140" s="2"/>
      <c r="T140" s="2"/>
      <c r="U140" s="34">
        <f t="shared" si="2"/>
        <v>0.94899999999999995</v>
      </c>
    </row>
    <row r="141" spans="1:21" x14ac:dyDescent="0.2">
      <c r="A141" s="18" t="s">
        <v>431</v>
      </c>
      <c r="B141" s="19" t="s">
        <v>432</v>
      </c>
      <c r="C141" s="19" t="s">
        <v>433</v>
      </c>
      <c r="D141" s="20">
        <v>11.06537674</v>
      </c>
      <c r="E141" s="20">
        <v>8.5524613397499998</v>
      </c>
      <c r="F141" s="1">
        <v>0.27684931664236845</v>
      </c>
      <c r="G141" s="42" t="s">
        <v>187</v>
      </c>
      <c r="J141" s="44"/>
      <c r="K141" s="35">
        <v>0.9204</v>
      </c>
      <c r="L141" s="35">
        <v>2.9999999999999997E-4</v>
      </c>
      <c r="M141" s="35">
        <v>0</v>
      </c>
      <c r="N141" s="21"/>
      <c r="P141" s="2" t="s">
        <v>187</v>
      </c>
      <c r="Q141" s="22"/>
      <c r="R141" s="2"/>
      <c r="S141" s="2"/>
      <c r="T141" s="2"/>
      <c r="U141" s="34">
        <f t="shared" si="2"/>
        <v>0.9204</v>
      </c>
    </row>
    <row r="142" spans="1:21" x14ac:dyDescent="0.2">
      <c r="A142" s="18" t="s">
        <v>434</v>
      </c>
      <c r="B142" s="19" t="s">
        <v>435</v>
      </c>
      <c r="C142" s="19" t="s">
        <v>436</v>
      </c>
      <c r="D142" s="20">
        <v>5.3614635247500004</v>
      </c>
      <c r="E142" s="20">
        <v>5.1267130593333334</v>
      </c>
      <c r="F142" s="1">
        <v>7.2129485527201656</v>
      </c>
      <c r="G142" s="42" t="s">
        <v>187</v>
      </c>
      <c r="J142" s="44"/>
      <c r="K142" s="35">
        <v>0.24</v>
      </c>
      <c r="L142" s="35">
        <v>7.4999999999999997E-3</v>
      </c>
      <c r="M142" s="35">
        <v>0</v>
      </c>
      <c r="N142" s="21"/>
      <c r="Q142" s="22" t="s">
        <v>187</v>
      </c>
      <c r="R142" s="2"/>
      <c r="S142" s="2"/>
      <c r="T142" s="2"/>
      <c r="U142" s="34">
        <f t="shared" si="2"/>
        <v>0.24</v>
      </c>
    </row>
    <row r="143" spans="1:21" x14ac:dyDescent="0.2">
      <c r="A143" s="18" t="s">
        <v>437</v>
      </c>
      <c r="B143" s="19" t="s">
        <v>438</v>
      </c>
      <c r="C143" s="19" t="s">
        <v>439</v>
      </c>
      <c r="D143" s="20">
        <v>0.34614339924999998</v>
      </c>
      <c r="E143" s="20">
        <v>1.75345921675</v>
      </c>
      <c r="F143" s="1">
        <v>0.22447241889881012</v>
      </c>
      <c r="G143" s="42"/>
      <c r="I143" s="43" t="s">
        <v>187</v>
      </c>
      <c r="J143" s="44"/>
      <c r="K143" s="35">
        <v>0</v>
      </c>
      <c r="L143" s="35">
        <v>2.46E-2</v>
      </c>
      <c r="M143" s="35">
        <v>0.85550000000000004</v>
      </c>
      <c r="N143" s="21"/>
      <c r="O143" s="2" t="s">
        <v>187</v>
      </c>
      <c r="Q143" s="22"/>
      <c r="R143" s="2"/>
      <c r="S143" s="2"/>
      <c r="T143" s="2"/>
      <c r="U143" s="34">
        <f t="shared" si="2"/>
        <v>0.85550000000000004</v>
      </c>
    </row>
    <row r="144" spans="1:21" x14ac:dyDescent="0.2">
      <c r="A144" s="18" t="s">
        <v>440</v>
      </c>
      <c r="B144" s="19" t="s">
        <v>441</v>
      </c>
      <c r="C144" s="19" t="s">
        <v>442</v>
      </c>
      <c r="D144" s="20">
        <v>0.27371472666666669</v>
      </c>
      <c r="E144" s="20">
        <v>1.855873307</v>
      </c>
      <c r="F144" s="1">
        <v>0</v>
      </c>
      <c r="G144" s="42"/>
      <c r="I144" s="43" t="s">
        <v>187</v>
      </c>
      <c r="J144" s="44"/>
      <c r="K144" s="35">
        <v>0</v>
      </c>
      <c r="L144" s="35">
        <v>5.57E-2</v>
      </c>
      <c r="M144" s="35">
        <v>0.79449999999999998</v>
      </c>
      <c r="N144" s="21"/>
      <c r="O144" s="2" t="s">
        <v>187</v>
      </c>
      <c r="Q144" s="22"/>
      <c r="R144" s="2"/>
      <c r="S144" s="2"/>
      <c r="T144" s="2"/>
      <c r="U144" s="34">
        <f t="shared" si="2"/>
        <v>0.79449999999999998</v>
      </c>
    </row>
    <row r="145" spans="1:21" x14ac:dyDescent="0.2">
      <c r="A145" s="18" t="s">
        <v>443</v>
      </c>
      <c r="B145" s="19" t="s">
        <v>444</v>
      </c>
      <c r="C145" s="19" t="s">
        <v>445</v>
      </c>
      <c r="D145" s="20">
        <v>17.479786959333335</v>
      </c>
      <c r="E145" s="20">
        <v>1.5284</v>
      </c>
      <c r="F145" s="1">
        <v>0.69212329160487129</v>
      </c>
      <c r="G145" s="42"/>
      <c r="J145" s="44" t="s">
        <v>187</v>
      </c>
      <c r="K145" s="35">
        <v>0</v>
      </c>
      <c r="L145" s="35">
        <v>0</v>
      </c>
      <c r="M145" s="35">
        <v>0</v>
      </c>
      <c r="N145" s="21"/>
      <c r="P145" s="2" t="s">
        <v>187</v>
      </c>
      <c r="Q145" s="22"/>
      <c r="R145" s="2"/>
      <c r="S145" s="2"/>
      <c r="T145" s="2"/>
      <c r="U145" s="34">
        <f t="shared" si="2"/>
        <v>0</v>
      </c>
    </row>
    <row r="146" spans="1:21" x14ac:dyDescent="0.2">
      <c r="A146" s="18" t="s">
        <v>446</v>
      </c>
      <c r="B146" s="19" t="s">
        <v>447</v>
      </c>
      <c r="C146" s="19" t="s">
        <v>448</v>
      </c>
      <c r="D146" s="20">
        <v>22.0440621475</v>
      </c>
      <c r="E146" s="20">
        <v>22.179390830000003</v>
      </c>
      <c r="F146" s="1">
        <v>0.39120012134209464</v>
      </c>
      <c r="G146" s="42" t="s">
        <v>187</v>
      </c>
      <c r="J146" s="44"/>
      <c r="K146" s="35">
        <v>0.96940000000000004</v>
      </c>
      <c r="L146" s="35">
        <v>2.0000000000000001E-4</v>
      </c>
      <c r="M146" s="35">
        <v>0</v>
      </c>
      <c r="N146" s="21"/>
      <c r="P146" s="2" t="s">
        <v>187</v>
      </c>
      <c r="Q146" s="22"/>
      <c r="R146" s="2"/>
      <c r="S146" s="2"/>
      <c r="T146" s="2"/>
      <c r="U146" s="34">
        <f t="shared" si="2"/>
        <v>0.96940000000000004</v>
      </c>
    </row>
    <row r="147" spans="1:21" x14ac:dyDescent="0.2">
      <c r="A147" s="18" t="s">
        <v>449</v>
      </c>
      <c r="B147" s="19" t="s">
        <v>450</v>
      </c>
      <c r="C147" s="19" t="s">
        <v>451</v>
      </c>
      <c r="D147" s="20">
        <v>1.3624213252499999</v>
      </c>
      <c r="E147" s="20">
        <v>4.2483587165000003</v>
      </c>
      <c r="F147" s="1">
        <v>19.38479923543586</v>
      </c>
      <c r="G147" s="42"/>
      <c r="J147" s="44" t="s">
        <v>187</v>
      </c>
      <c r="K147" s="35">
        <v>2.9999999999999997E-4</v>
      </c>
      <c r="L147" s="35">
        <v>0.55430000000000001</v>
      </c>
      <c r="M147" s="35">
        <v>9.4000000000000004E-3</v>
      </c>
      <c r="N147" s="21"/>
      <c r="Q147" s="22"/>
      <c r="R147" s="2"/>
      <c r="S147" s="2"/>
      <c r="T147" s="2"/>
      <c r="U147" s="34">
        <f t="shared" si="2"/>
        <v>0.55430000000000001</v>
      </c>
    </row>
    <row r="148" spans="1:21" x14ac:dyDescent="0.2">
      <c r="A148" s="18" t="s">
        <v>452</v>
      </c>
      <c r="B148" s="19" t="s">
        <v>453</v>
      </c>
      <c r="C148" s="19" t="s">
        <v>454</v>
      </c>
      <c r="D148" s="20">
        <v>0.45842515624999997</v>
      </c>
      <c r="E148" s="20">
        <v>7.8575406990000003</v>
      </c>
      <c r="F148" s="1">
        <v>0.29362806310482581</v>
      </c>
      <c r="G148" s="42"/>
      <c r="H148" s="43" t="s">
        <v>187</v>
      </c>
      <c r="J148" s="44"/>
      <c r="K148" s="35">
        <v>0</v>
      </c>
      <c r="L148" s="35">
        <v>0.95340000000000003</v>
      </c>
      <c r="M148" s="35">
        <v>1.04E-2</v>
      </c>
      <c r="N148" s="21"/>
      <c r="O148" s="2" t="s">
        <v>187</v>
      </c>
      <c r="Q148" s="22"/>
      <c r="R148" s="2"/>
      <c r="S148" s="2"/>
      <c r="T148" s="2"/>
      <c r="U148" s="34">
        <f t="shared" si="2"/>
        <v>0.95340000000000003</v>
      </c>
    </row>
    <row r="149" spans="1:21" x14ac:dyDescent="0.2">
      <c r="A149" s="18" t="s">
        <v>455</v>
      </c>
      <c r="B149" s="19" t="s">
        <v>456</v>
      </c>
      <c r="C149" s="19" t="s">
        <v>457</v>
      </c>
      <c r="D149" s="20">
        <v>0.29170868699999997</v>
      </c>
      <c r="E149" s="20">
        <v>6.7536730125000002</v>
      </c>
      <c r="F149" s="1">
        <v>0</v>
      </c>
      <c r="G149" s="42"/>
      <c r="H149" s="43" t="s">
        <v>187</v>
      </c>
      <c r="J149" s="44"/>
      <c r="K149" s="35">
        <v>0</v>
      </c>
      <c r="L149" s="35">
        <v>0.91900000000000004</v>
      </c>
      <c r="M149" s="35">
        <v>2.07E-2</v>
      </c>
      <c r="N149" s="21"/>
      <c r="O149" s="2" t="s">
        <v>187</v>
      </c>
      <c r="Q149" s="22"/>
      <c r="R149" s="2"/>
      <c r="S149" s="2"/>
      <c r="T149" s="2"/>
      <c r="U149" s="34">
        <f t="shared" si="2"/>
        <v>0.91900000000000004</v>
      </c>
    </row>
    <row r="150" spans="1:21" x14ac:dyDescent="0.2">
      <c r="A150" s="18" t="s">
        <v>458</v>
      </c>
      <c r="B150" s="19" t="s">
        <v>459</v>
      </c>
      <c r="C150" s="19" t="s">
        <v>460</v>
      </c>
      <c r="D150" s="20">
        <v>0.18816488275000001</v>
      </c>
      <c r="E150" s="20">
        <v>0.13025597999999999</v>
      </c>
      <c r="F150" s="1">
        <v>0.23070776386810676</v>
      </c>
      <c r="G150" s="42"/>
      <c r="I150" s="43" t="s">
        <v>187</v>
      </c>
      <c r="J150" s="44"/>
      <c r="K150" s="35">
        <v>0</v>
      </c>
      <c r="L150" s="35">
        <v>0</v>
      </c>
      <c r="M150" s="35">
        <v>0.94359999999999999</v>
      </c>
      <c r="N150" s="21"/>
      <c r="O150" s="2" t="s">
        <v>187</v>
      </c>
      <c r="Q150" s="22"/>
      <c r="R150" s="2"/>
      <c r="S150" s="2"/>
      <c r="T150" s="2"/>
      <c r="U150" s="34">
        <f t="shared" si="2"/>
        <v>0.94359999999999999</v>
      </c>
    </row>
    <row r="151" spans="1:21" x14ac:dyDescent="0.2">
      <c r="A151" s="18" t="s">
        <v>461</v>
      </c>
      <c r="B151" s="19" t="s">
        <v>462</v>
      </c>
      <c r="C151" s="19" t="s">
        <v>463</v>
      </c>
      <c r="D151" s="20">
        <v>1.3566021006666666</v>
      </c>
      <c r="E151" s="20">
        <v>9.627860493</v>
      </c>
      <c r="F151" s="1">
        <v>0.49832876995514774</v>
      </c>
      <c r="G151" s="42"/>
      <c r="H151" s="43" t="s">
        <v>187</v>
      </c>
      <c r="J151" s="44"/>
      <c r="K151" s="35">
        <v>3.0999999999999999E-3</v>
      </c>
      <c r="L151" s="35">
        <v>0.95379999999999998</v>
      </c>
      <c r="M151" s="35">
        <v>2.0000000000000001E-4</v>
      </c>
      <c r="N151" s="21"/>
      <c r="O151" s="2" t="s">
        <v>187</v>
      </c>
      <c r="Q151" s="22"/>
      <c r="R151" s="2"/>
      <c r="S151" s="2"/>
      <c r="T151" s="2"/>
      <c r="U151" s="34">
        <f t="shared" si="2"/>
        <v>0.95379999999999998</v>
      </c>
    </row>
    <row r="152" spans="1:21" x14ac:dyDescent="0.2">
      <c r="A152" s="18" t="s">
        <v>464</v>
      </c>
      <c r="B152" s="19" t="s">
        <v>465</v>
      </c>
      <c r="C152" s="19" t="s">
        <v>466</v>
      </c>
      <c r="D152" s="20">
        <v>1.5454695087500001</v>
      </c>
      <c r="E152" s="20">
        <v>8.8457551502499996</v>
      </c>
      <c r="F152" s="1">
        <v>0</v>
      </c>
      <c r="G152" s="42"/>
      <c r="H152" s="43" t="s">
        <v>187</v>
      </c>
      <c r="J152" s="44"/>
      <c r="K152" s="35">
        <v>7.1000000000000004E-3</v>
      </c>
      <c r="L152" s="35">
        <v>0.93010000000000004</v>
      </c>
      <c r="M152" s="35">
        <v>1E-4</v>
      </c>
      <c r="N152" s="21"/>
      <c r="O152" s="2" t="s">
        <v>187</v>
      </c>
      <c r="Q152" s="22"/>
      <c r="R152" s="2"/>
      <c r="S152" s="2"/>
      <c r="T152" s="2"/>
      <c r="U152" s="34">
        <f t="shared" si="2"/>
        <v>0.93010000000000004</v>
      </c>
    </row>
    <row r="153" spans="1:21" x14ac:dyDescent="0.2">
      <c r="A153" s="18" t="s">
        <v>467</v>
      </c>
      <c r="B153" s="19" t="s">
        <v>468</v>
      </c>
      <c r="C153" s="19" t="s">
        <v>469</v>
      </c>
      <c r="D153" s="20">
        <v>2.5253604602499999</v>
      </c>
      <c r="E153" s="20">
        <v>13.415320144500001</v>
      </c>
      <c r="F153" s="1">
        <v>0.20507356788278319</v>
      </c>
      <c r="G153" s="42"/>
      <c r="H153" s="43" t="s">
        <v>187</v>
      </c>
      <c r="J153" s="44"/>
      <c r="K153" s="35">
        <v>0.1862</v>
      </c>
      <c r="L153" s="35">
        <v>0.75539999999999996</v>
      </c>
      <c r="M153" s="35">
        <v>0</v>
      </c>
      <c r="N153" s="21"/>
      <c r="O153" s="2" t="s">
        <v>187</v>
      </c>
      <c r="Q153" s="22"/>
      <c r="R153" s="2"/>
      <c r="S153" s="2"/>
      <c r="T153" s="2"/>
      <c r="U153" s="34">
        <f t="shared" si="2"/>
        <v>0.75539999999999996</v>
      </c>
    </row>
    <row r="154" spans="1:21" x14ac:dyDescent="0.2">
      <c r="A154" s="18" t="s">
        <v>470</v>
      </c>
      <c r="B154" s="19" t="s">
        <v>471</v>
      </c>
      <c r="C154" s="19" t="s">
        <v>472</v>
      </c>
      <c r="D154" s="20">
        <v>2.0553874399999996</v>
      </c>
      <c r="E154" s="20">
        <v>12.626019854999999</v>
      </c>
      <c r="F154" s="1">
        <v>0.31257180911158622</v>
      </c>
      <c r="G154" s="42"/>
      <c r="H154" s="43" t="s">
        <v>187</v>
      </c>
      <c r="J154" s="44"/>
      <c r="K154" s="35">
        <v>5.8999999999999997E-2</v>
      </c>
      <c r="L154" s="35">
        <v>0.89119999999999999</v>
      </c>
      <c r="M154" s="35">
        <v>0</v>
      </c>
      <c r="N154" s="21"/>
      <c r="O154" s="2" t="s">
        <v>187</v>
      </c>
      <c r="Q154" s="22"/>
      <c r="R154" s="2"/>
      <c r="S154" s="2"/>
      <c r="T154" s="2"/>
      <c r="U154" s="34">
        <f t="shared" si="2"/>
        <v>0.89119999999999999</v>
      </c>
    </row>
    <row r="155" spans="1:21" x14ac:dyDescent="0.2">
      <c r="A155" s="18" t="s">
        <v>473</v>
      </c>
      <c r="B155" s="19" t="s">
        <v>474</v>
      </c>
      <c r="C155" s="19" t="s">
        <v>475</v>
      </c>
      <c r="D155" s="20">
        <v>0.530327828</v>
      </c>
      <c r="E155" s="20">
        <v>7.6310661574999994</v>
      </c>
      <c r="F155" s="1">
        <v>0.26227829997633195</v>
      </c>
      <c r="G155" s="42"/>
      <c r="H155" s="43" t="s">
        <v>187</v>
      </c>
      <c r="J155" s="44"/>
      <c r="K155" s="35">
        <v>0</v>
      </c>
      <c r="L155" s="35">
        <v>0.95589999999999997</v>
      </c>
      <c r="M155" s="35">
        <v>9.2999999999999992E-3</v>
      </c>
      <c r="N155" s="21"/>
      <c r="O155" s="2" t="s">
        <v>187</v>
      </c>
      <c r="Q155" s="22"/>
      <c r="R155" s="2"/>
      <c r="S155" s="2"/>
      <c r="T155" s="2"/>
      <c r="U155" s="34">
        <f t="shared" si="2"/>
        <v>0.95589999999999997</v>
      </c>
    </row>
    <row r="156" spans="1:21" x14ac:dyDescent="0.2">
      <c r="A156" s="18" t="s">
        <v>476</v>
      </c>
      <c r="B156" s="19" t="s">
        <v>477</v>
      </c>
      <c r="C156" s="19" t="s">
        <v>478</v>
      </c>
      <c r="D156" s="20">
        <v>2.0407628065000001</v>
      </c>
      <c r="E156" s="20">
        <v>15.829163196666668</v>
      </c>
      <c r="F156" s="1">
        <v>0.30761035182420793</v>
      </c>
      <c r="G156" s="42"/>
      <c r="H156" s="43" t="s">
        <v>187</v>
      </c>
      <c r="J156" s="44"/>
      <c r="K156" s="35">
        <v>5.16E-2</v>
      </c>
      <c r="L156" s="35">
        <v>0.90990000000000004</v>
      </c>
      <c r="M156" s="35">
        <v>0</v>
      </c>
      <c r="N156" s="21"/>
      <c r="O156" s="2" t="s">
        <v>187</v>
      </c>
      <c r="Q156" s="22"/>
      <c r="R156" s="2"/>
      <c r="S156" s="2"/>
      <c r="T156" s="2"/>
      <c r="U156" s="34">
        <f t="shared" si="2"/>
        <v>0.90990000000000004</v>
      </c>
    </row>
    <row r="157" spans="1:21" x14ac:dyDescent="0.2">
      <c r="A157" s="18" t="s">
        <v>479</v>
      </c>
      <c r="B157" s="19" t="s">
        <v>480</v>
      </c>
      <c r="C157" s="19" t="s">
        <v>481</v>
      </c>
      <c r="D157" s="20">
        <v>1.8516134045000001</v>
      </c>
      <c r="E157" s="20">
        <v>19.912491912499998</v>
      </c>
      <c r="F157" s="1">
        <v>0.44364298197307089</v>
      </c>
      <c r="G157" s="42"/>
      <c r="H157" s="43" t="s">
        <v>187</v>
      </c>
      <c r="J157" s="44"/>
      <c r="K157" s="35">
        <v>2.3E-2</v>
      </c>
      <c r="L157" s="35">
        <v>0.94269999999999998</v>
      </c>
      <c r="M157" s="35">
        <v>0</v>
      </c>
      <c r="N157" s="21"/>
      <c r="O157" s="2" t="s">
        <v>187</v>
      </c>
      <c r="Q157" s="22"/>
      <c r="R157" s="2"/>
      <c r="S157" s="2"/>
      <c r="T157" s="2"/>
      <c r="U157" s="34">
        <f t="shared" si="2"/>
        <v>0.94269999999999998</v>
      </c>
    </row>
    <row r="158" spans="1:21" x14ac:dyDescent="0.2">
      <c r="A158" s="18" t="s">
        <v>482</v>
      </c>
      <c r="B158" s="19" t="s">
        <v>483</v>
      </c>
      <c r="C158" s="19" t="s">
        <v>484</v>
      </c>
      <c r="D158" s="20">
        <v>0.22879209975000001</v>
      </c>
      <c r="E158" s="20">
        <v>6.1595040000000004E-2</v>
      </c>
      <c r="F158" s="1">
        <v>3.8451293978011065E-2</v>
      </c>
      <c r="G158" s="42"/>
      <c r="I158" s="43" t="s">
        <v>187</v>
      </c>
      <c r="J158" s="44"/>
      <c r="K158" s="35">
        <v>0</v>
      </c>
      <c r="L158" s="35">
        <v>0</v>
      </c>
      <c r="M158" s="35">
        <v>0.93769999999999998</v>
      </c>
      <c r="N158" s="21"/>
      <c r="O158" s="2" t="s">
        <v>187</v>
      </c>
      <c r="Q158" s="22"/>
      <c r="R158" s="2"/>
      <c r="S158" s="2"/>
      <c r="T158" s="2"/>
      <c r="U158" s="34">
        <f t="shared" si="2"/>
        <v>0.93769999999999998</v>
      </c>
    </row>
    <row r="159" spans="1:21" x14ac:dyDescent="0.2">
      <c r="A159" s="18" t="s">
        <v>485</v>
      </c>
      <c r="B159" s="19" t="s">
        <v>486</v>
      </c>
      <c r="C159" s="19" t="s">
        <v>487</v>
      </c>
      <c r="D159" s="20">
        <v>0.3044037593333333</v>
      </c>
      <c r="E159" s="20">
        <v>0.14937138149999998</v>
      </c>
      <c r="F159" s="1">
        <v>0</v>
      </c>
      <c r="G159" s="42"/>
      <c r="I159" s="43" t="s">
        <v>187</v>
      </c>
      <c r="J159" s="44"/>
      <c r="K159" s="35">
        <v>0</v>
      </c>
      <c r="L159" s="35">
        <v>0</v>
      </c>
      <c r="M159" s="35">
        <v>0.96899999999999997</v>
      </c>
      <c r="N159" s="21"/>
      <c r="O159" s="2" t="s">
        <v>187</v>
      </c>
      <c r="Q159" s="22"/>
      <c r="R159" s="2"/>
      <c r="S159" s="2"/>
      <c r="T159" s="2"/>
      <c r="U159" s="34">
        <f t="shared" si="2"/>
        <v>0.96899999999999997</v>
      </c>
    </row>
    <row r="160" spans="1:21" x14ac:dyDescent="0.2">
      <c r="A160" s="18" t="s">
        <v>488</v>
      </c>
      <c r="B160" s="19" t="s">
        <v>489</v>
      </c>
      <c r="C160" s="19" t="s">
        <v>490</v>
      </c>
      <c r="D160" s="20">
        <v>0.2422489125</v>
      </c>
      <c r="E160" s="20">
        <v>1.5458397932500001</v>
      </c>
      <c r="F160" s="1">
        <v>0.11674368774050156</v>
      </c>
      <c r="G160" s="42"/>
      <c r="I160" s="43" t="s">
        <v>187</v>
      </c>
      <c r="J160" s="44"/>
      <c r="K160" s="35">
        <v>0</v>
      </c>
      <c r="L160" s="35">
        <v>2.1700000000000001E-2</v>
      </c>
      <c r="M160" s="35">
        <v>0.8337</v>
      </c>
      <c r="N160" s="21"/>
      <c r="O160" s="2" t="s">
        <v>187</v>
      </c>
      <c r="P160" s="2" t="s">
        <v>187</v>
      </c>
      <c r="Q160" s="22"/>
      <c r="R160" s="2"/>
      <c r="S160" s="2"/>
      <c r="T160" s="2"/>
      <c r="U160" s="34">
        <f t="shared" si="2"/>
        <v>0.8337</v>
      </c>
    </row>
    <row r="161" spans="1:21" x14ac:dyDescent="0.2">
      <c r="A161" s="18" t="s">
        <v>491</v>
      </c>
      <c r="B161" s="19" t="s">
        <v>492</v>
      </c>
      <c r="C161" s="19" t="s">
        <v>493</v>
      </c>
      <c r="D161" s="20">
        <v>2.6270280762499998</v>
      </c>
      <c r="E161" s="20">
        <v>16.030277269999999</v>
      </c>
      <c r="F161" s="1">
        <v>0.38896184982793885</v>
      </c>
      <c r="G161" s="42"/>
      <c r="H161" s="43" t="s">
        <v>187</v>
      </c>
      <c r="J161" s="44"/>
      <c r="K161" s="35">
        <v>0.20219999999999999</v>
      </c>
      <c r="L161" s="35">
        <v>0.74929999999999997</v>
      </c>
      <c r="M161" s="35">
        <v>0</v>
      </c>
      <c r="N161" s="21"/>
      <c r="O161" s="2" t="s">
        <v>187</v>
      </c>
      <c r="P161" s="2" t="s">
        <v>187</v>
      </c>
      <c r="Q161" s="22"/>
      <c r="R161" s="2"/>
      <c r="S161" s="2"/>
      <c r="T161" s="2"/>
      <c r="U161" s="34">
        <f t="shared" si="2"/>
        <v>0.74929999999999997</v>
      </c>
    </row>
    <row r="162" spans="1:21" x14ac:dyDescent="0.2">
      <c r="A162" s="18" t="s">
        <v>494</v>
      </c>
      <c r="B162" s="19" t="s">
        <v>495</v>
      </c>
      <c r="C162" s="19" t="s">
        <v>496</v>
      </c>
      <c r="D162" s="20">
        <v>0.35040383149999998</v>
      </c>
      <c r="E162" s="20">
        <v>7.31882854825</v>
      </c>
      <c r="F162" s="1">
        <v>0.37309771188082724</v>
      </c>
      <c r="G162" s="42"/>
      <c r="H162" s="43" t="s">
        <v>187</v>
      </c>
      <c r="J162" s="44"/>
      <c r="K162" s="35">
        <v>0</v>
      </c>
      <c r="L162" s="35">
        <v>0.93679999999999997</v>
      </c>
      <c r="M162" s="35">
        <v>1.6199999999999999E-2</v>
      </c>
      <c r="N162" s="21"/>
      <c r="O162" s="2" t="s">
        <v>187</v>
      </c>
      <c r="Q162" s="22"/>
      <c r="R162" s="2"/>
      <c r="S162" s="2"/>
      <c r="T162" s="2"/>
      <c r="U162" s="34">
        <f t="shared" si="2"/>
        <v>0.93679999999999997</v>
      </c>
    </row>
    <row r="163" spans="1:21" x14ac:dyDescent="0.2">
      <c r="A163" s="18" t="s">
        <v>497</v>
      </c>
      <c r="B163" s="19" t="s">
        <v>498</v>
      </c>
      <c r="C163" s="19" t="s">
        <v>499</v>
      </c>
      <c r="D163" s="20">
        <v>0.39711588050000002</v>
      </c>
      <c r="E163" s="20">
        <v>2.5817103083333337</v>
      </c>
      <c r="F163" s="1">
        <v>0</v>
      </c>
      <c r="G163" s="42"/>
      <c r="I163" s="43" t="s">
        <v>187</v>
      </c>
      <c r="J163" s="44"/>
      <c r="K163" s="35">
        <v>0</v>
      </c>
      <c r="L163" s="35">
        <v>0.2243</v>
      </c>
      <c r="M163" s="35">
        <v>0.61040000000000005</v>
      </c>
      <c r="N163" s="21"/>
      <c r="O163" s="2" t="s">
        <v>187</v>
      </c>
      <c r="Q163" s="22"/>
      <c r="R163" s="2"/>
      <c r="S163" s="2"/>
      <c r="T163" s="2"/>
      <c r="U163" s="34">
        <f t="shared" si="2"/>
        <v>0.61040000000000005</v>
      </c>
    </row>
    <row r="164" spans="1:21" x14ac:dyDescent="0.2">
      <c r="A164" s="18" t="s">
        <v>500</v>
      </c>
      <c r="B164" s="19" t="s">
        <v>501</v>
      </c>
      <c r="C164" s="19" t="s">
        <v>502</v>
      </c>
      <c r="D164" s="20">
        <v>0.17488270950000001</v>
      </c>
      <c r="E164" s="20">
        <v>0.12888907199999999</v>
      </c>
      <c r="F164" s="1">
        <v>7.0987004267099515E-2</v>
      </c>
      <c r="G164" s="42"/>
      <c r="I164" s="43" t="s">
        <v>187</v>
      </c>
      <c r="J164" s="44"/>
      <c r="K164" s="35">
        <v>0</v>
      </c>
      <c r="L164" s="35">
        <v>0</v>
      </c>
      <c r="M164" s="35">
        <v>0.93230000000000002</v>
      </c>
      <c r="N164" s="21"/>
      <c r="O164" s="2" t="s">
        <v>187</v>
      </c>
      <c r="Q164" s="22"/>
      <c r="R164" s="2"/>
      <c r="S164" s="2"/>
      <c r="T164" s="2"/>
      <c r="U164" s="34">
        <f t="shared" si="2"/>
        <v>0.93230000000000002</v>
      </c>
    </row>
    <row r="165" spans="1:21" x14ac:dyDescent="0.2">
      <c r="A165" s="18" t="s">
        <v>503</v>
      </c>
      <c r="B165" s="19" t="s">
        <v>504</v>
      </c>
      <c r="C165" s="19" t="s">
        <v>505</v>
      </c>
      <c r="D165" s="20">
        <v>0.49999587400000006</v>
      </c>
      <c r="E165" s="20">
        <v>0.6089</v>
      </c>
      <c r="F165" s="1">
        <v>0</v>
      </c>
      <c r="G165" s="42"/>
      <c r="I165" s="43" t="s">
        <v>187</v>
      </c>
      <c r="J165" s="44"/>
      <c r="K165" s="35">
        <v>0</v>
      </c>
      <c r="L165" s="35">
        <v>0</v>
      </c>
      <c r="M165" s="35">
        <v>0.94030000000000002</v>
      </c>
      <c r="N165" s="21"/>
      <c r="O165" s="2" t="s">
        <v>187</v>
      </c>
      <c r="Q165" s="22"/>
      <c r="R165" s="2"/>
      <c r="S165" s="2"/>
      <c r="T165" s="2"/>
      <c r="U165" s="34">
        <f t="shared" si="2"/>
        <v>0.94030000000000002</v>
      </c>
    </row>
    <row r="166" spans="1:21" x14ac:dyDescent="0.2">
      <c r="A166" s="18" t="s">
        <v>506</v>
      </c>
      <c r="B166" s="19" t="s">
        <v>507</v>
      </c>
      <c r="C166" s="19" t="s">
        <v>508</v>
      </c>
      <c r="D166" s="20">
        <v>18.014942486666666</v>
      </c>
      <c r="E166" s="20">
        <v>25.2505825615</v>
      </c>
      <c r="F166" s="1">
        <v>0.30761035182487001</v>
      </c>
      <c r="G166" s="42" t="s">
        <v>187</v>
      </c>
      <c r="J166" s="44"/>
      <c r="K166" s="35">
        <v>0.97330000000000005</v>
      </c>
      <c r="L166" s="35">
        <v>6.9999999999999999E-4</v>
      </c>
      <c r="M166" s="35">
        <v>0</v>
      </c>
      <c r="N166" s="21"/>
      <c r="P166" s="2" t="s">
        <v>187</v>
      </c>
      <c r="Q166" s="22"/>
      <c r="R166" s="2"/>
      <c r="S166" s="2"/>
      <c r="T166" s="2"/>
      <c r="U166" s="34">
        <f t="shared" si="2"/>
        <v>0.97330000000000005</v>
      </c>
    </row>
    <row r="167" spans="1:21" x14ac:dyDescent="0.2">
      <c r="A167" s="18" t="s">
        <v>509</v>
      </c>
      <c r="B167" s="19" t="s">
        <v>510</v>
      </c>
      <c r="C167" s="19" t="s">
        <v>511</v>
      </c>
      <c r="D167" s="20">
        <v>0.23496240600000001</v>
      </c>
      <c r="E167" s="20">
        <v>0.23666999999999999</v>
      </c>
      <c r="F167" s="1">
        <v>0</v>
      </c>
      <c r="G167" s="42"/>
      <c r="I167" s="43" t="s">
        <v>187</v>
      </c>
      <c r="J167" s="44"/>
      <c r="K167" s="35">
        <v>0</v>
      </c>
      <c r="L167" s="35">
        <v>0</v>
      </c>
      <c r="M167" s="35">
        <v>0.96450000000000002</v>
      </c>
      <c r="N167" s="21"/>
      <c r="O167" s="2" t="s">
        <v>187</v>
      </c>
      <c r="Q167" s="22"/>
      <c r="R167" s="2"/>
      <c r="S167" s="2"/>
      <c r="T167" s="2"/>
      <c r="U167" s="34">
        <f t="shared" si="2"/>
        <v>0.96450000000000002</v>
      </c>
    </row>
    <row r="168" spans="1:21" x14ac:dyDescent="0.2">
      <c r="A168" s="18" t="s">
        <v>512</v>
      </c>
      <c r="B168" s="19" t="s">
        <v>513</v>
      </c>
      <c r="C168" s="19" t="s">
        <v>514</v>
      </c>
      <c r="D168" s="20">
        <v>12.280214502666666</v>
      </c>
      <c r="E168" s="20">
        <v>7.6801538584999989</v>
      </c>
      <c r="F168" s="1">
        <v>0.69212329160539798</v>
      </c>
      <c r="G168" s="42" t="s">
        <v>187</v>
      </c>
      <c r="J168" s="44"/>
      <c r="K168" s="35">
        <v>0.85829999999999995</v>
      </c>
      <c r="L168" s="35">
        <v>1E-4</v>
      </c>
      <c r="M168" s="35">
        <v>0</v>
      </c>
      <c r="N168" s="21"/>
      <c r="P168" s="2" t="s">
        <v>187</v>
      </c>
      <c r="Q168" s="22"/>
      <c r="R168" s="2"/>
      <c r="S168" s="2"/>
      <c r="T168" s="2"/>
      <c r="U168" s="34">
        <f t="shared" si="2"/>
        <v>0.85829999999999995</v>
      </c>
    </row>
    <row r="169" spans="1:21" x14ac:dyDescent="0.2">
      <c r="A169" s="18" t="s">
        <v>515</v>
      </c>
      <c r="B169" s="19" t="s">
        <v>516</v>
      </c>
      <c r="C169" s="19" t="s">
        <v>517</v>
      </c>
      <c r="D169" s="20">
        <v>0.20990830450000003</v>
      </c>
      <c r="E169" s="20">
        <v>0.10448338900000001</v>
      </c>
      <c r="F169" s="1">
        <v>0.11054747018682901</v>
      </c>
      <c r="G169" s="42"/>
      <c r="I169" s="43" t="s">
        <v>187</v>
      </c>
      <c r="J169" s="44"/>
      <c r="K169" s="35">
        <v>0</v>
      </c>
      <c r="L169" s="35">
        <v>0</v>
      </c>
      <c r="M169" s="35">
        <v>0.95089999999999997</v>
      </c>
      <c r="N169" s="21"/>
      <c r="O169" s="2" t="s">
        <v>187</v>
      </c>
      <c r="Q169" s="22"/>
      <c r="R169" s="2"/>
      <c r="S169" s="2"/>
      <c r="T169" s="2"/>
      <c r="U169" s="34">
        <f t="shared" si="2"/>
        <v>0.95089999999999997</v>
      </c>
    </row>
    <row r="170" spans="1:21" x14ac:dyDescent="0.2">
      <c r="A170" s="18" t="s">
        <v>518</v>
      </c>
      <c r="B170" s="19" t="s">
        <v>519</v>
      </c>
      <c r="C170" s="19" t="s">
        <v>520</v>
      </c>
      <c r="D170" s="20">
        <v>0.30247703599999998</v>
      </c>
      <c r="E170" s="20">
        <v>0.11332825874999999</v>
      </c>
      <c r="F170" s="1">
        <v>0.60712569439000952</v>
      </c>
      <c r="G170" s="42"/>
      <c r="I170" s="43" t="s">
        <v>187</v>
      </c>
      <c r="J170" s="44"/>
      <c r="K170" s="35">
        <v>0</v>
      </c>
      <c r="L170" s="35">
        <v>0</v>
      </c>
      <c r="M170" s="35">
        <v>0.96499999999999997</v>
      </c>
      <c r="N170" s="21"/>
      <c r="O170" s="2" t="s">
        <v>187</v>
      </c>
      <c r="Q170" s="22"/>
      <c r="R170" s="2"/>
      <c r="S170" s="2"/>
      <c r="T170" s="2"/>
      <c r="U170" s="34">
        <f t="shared" si="2"/>
        <v>0.96499999999999997</v>
      </c>
    </row>
    <row r="171" spans="1:21" x14ac:dyDescent="0.2">
      <c r="A171" s="18" t="s">
        <v>521</v>
      </c>
      <c r="B171" s="19" t="s">
        <v>522</v>
      </c>
      <c r="C171" s="19" t="s">
        <v>523</v>
      </c>
      <c r="D171" s="20">
        <v>14.162185769000001</v>
      </c>
      <c r="E171" s="20">
        <v>19.917246890000001</v>
      </c>
      <c r="F171" s="1">
        <v>0.30761035182438567</v>
      </c>
      <c r="G171" s="42" t="s">
        <v>187</v>
      </c>
      <c r="J171" s="44"/>
      <c r="K171" s="35">
        <v>0.98409999999999997</v>
      </c>
      <c r="L171" s="35">
        <v>6.9999999999999999E-4</v>
      </c>
      <c r="M171" s="35">
        <v>0</v>
      </c>
      <c r="N171" s="21"/>
      <c r="P171" s="2" t="s">
        <v>187</v>
      </c>
      <c r="Q171" s="22"/>
      <c r="R171" s="2"/>
      <c r="S171" s="2"/>
      <c r="T171" s="2"/>
      <c r="U171" s="34">
        <f t="shared" si="2"/>
        <v>0.98409999999999997</v>
      </c>
    </row>
    <row r="172" spans="1:21" x14ac:dyDescent="0.2">
      <c r="A172" s="18" t="s">
        <v>524</v>
      </c>
      <c r="B172" s="19" t="s">
        <v>525</v>
      </c>
      <c r="C172" s="19" t="s">
        <v>526</v>
      </c>
      <c r="D172" s="20">
        <v>0.35711523125</v>
      </c>
      <c r="E172" s="20">
        <v>1.2500183499999999</v>
      </c>
      <c r="F172" s="1">
        <v>0.18456621109496604</v>
      </c>
      <c r="G172" s="42"/>
      <c r="I172" s="43" t="s">
        <v>187</v>
      </c>
      <c r="J172" s="44"/>
      <c r="K172" s="35">
        <v>0</v>
      </c>
      <c r="L172" s="35">
        <v>1.6000000000000001E-3</v>
      </c>
      <c r="M172" s="35">
        <v>0.91890000000000005</v>
      </c>
      <c r="N172" s="21"/>
      <c r="O172" s="2" t="s">
        <v>187</v>
      </c>
      <c r="Q172" s="22"/>
      <c r="R172" s="2"/>
      <c r="S172" s="2"/>
      <c r="T172" s="2"/>
      <c r="U172" s="34">
        <f t="shared" si="2"/>
        <v>0.91890000000000005</v>
      </c>
    </row>
    <row r="173" spans="1:21" x14ac:dyDescent="0.2">
      <c r="A173" s="18" t="s">
        <v>527</v>
      </c>
      <c r="B173" s="19" t="s">
        <v>528</v>
      </c>
      <c r="C173" s="19" t="s">
        <v>529</v>
      </c>
      <c r="D173" s="23" t="s">
        <v>46</v>
      </c>
      <c r="E173" s="20">
        <v>0.2032549645</v>
      </c>
      <c r="F173" s="1">
        <v>0</v>
      </c>
      <c r="G173" s="42"/>
      <c r="I173" s="49" t="s">
        <v>187</v>
      </c>
      <c r="J173" s="44"/>
      <c r="K173" s="35" t="e">
        <v>#N/A</v>
      </c>
      <c r="L173" s="35" t="e">
        <v>#N/A</v>
      </c>
      <c r="M173" s="35" t="e">
        <v>#N/A</v>
      </c>
      <c r="N173" s="21"/>
      <c r="O173" s="2" t="s">
        <v>187</v>
      </c>
      <c r="Q173" s="22"/>
      <c r="R173" s="2"/>
      <c r="S173" s="2"/>
      <c r="T173" s="2"/>
      <c r="U173" s="34" t="e">
        <f t="shared" si="2"/>
        <v>#N/A</v>
      </c>
    </row>
    <row r="174" spans="1:21" x14ac:dyDescent="0.2">
      <c r="A174" s="18" t="s">
        <v>530</v>
      </c>
      <c r="B174" s="19" t="s">
        <v>531</v>
      </c>
      <c r="C174" s="19" t="s">
        <v>532</v>
      </c>
      <c r="D174" s="20">
        <v>3.8003635444999997</v>
      </c>
      <c r="E174" s="20">
        <v>6.3292977825000003</v>
      </c>
      <c r="F174" s="1">
        <v>0.36820959113379692</v>
      </c>
      <c r="G174" s="42"/>
      <c r="J174" s="44" t="s">
        <v>187</v>
      </c>
      <c r="K174" s="35">
        <v>0.37880000000000003</v>
      </c>
      <c r="L174" s="35">
        <v>0.1099</v>
      </c>
      <c r="M174" s="35">
        <v>0</v>
      </c>
      <c r="N174" s="21"/>
      <c r="Q174" s="22"/>
      <c r="R174" s="2"/>
      <c r="S174" s="2"/>
      <c r="T174" s="2"/>
      <c r="U174" s="34">
        <f t="shared" si="2"/>
        <v>0.37880000000000003</v>
      </c>
    </row>
    <row r="175" spans="1:21" x14ac:dyDescent="0.2">
      <c r="A175" s="18" t="s">
        <v>533</v>
      </c>
      <c r="B175" s="19" t="s">
        <v>534</v>
      </c>
      <c r="C175" s="19" t="s">
        <v>535</v>
      </c>
      <c r="D175" s="20">
        <v>0.45376428425000004</v>
      </c>
      <c r="E175" s="20">
        <v>0.7352929104999999</v>
      </c>
      <c r="F175" s="1">
        <v>0.27912791184065017</v>
      </c>
      <c r="G175" s="42"/>
      <c r="I175" s="43" t="s">
        <v>187</v>
      </c>
      <c r="J175" s="44"/>
      <c r="K175" s="35">
        <v>0</v>
      </c>
      <c r="L175" s="35">
        <v>0</v>
      </c>
      <c r="M175" s="35">
        <v>0.94289999999999996</v>
      </c>
      <c r="N175" s="21"/>
      <c r="O175" s="2" t="s">
        <v>187</v>
      </c>
      <c r="Q175" s="22"/>
      <c r="R175" s="2"/>
      <c r="S175" s="2"/>
      <c r="T175" s="2"/>
      <c r="U175" s="34">
        <f t="shared" si="2"/>
        <v>0.94289999999999996</v>
      </c>
    </row>
    <row r="176" spans="1:21" x14ac:dyDescent="0.2">
      <c r="A176" s="18" t="s">
        <v>536</v>
      </c>
      <c r="B176" s="19" t="s">
        <v>537</v>
      </c>
      <c r="C176" s="19" t="s">
        <v>538</v>
      </c>
      <c r="D176" s="20">
        <v>0.83504627850000002</v>
      </c>
      <c r="E176" s="20">
        <v>0.82169448099999998</v>
      </c>
      <c r="F176" s="1">
        <v>0</v>
      </c>
      <c r="G176" s="42"/>
      <c r="I176" s="43" t="s">
        <v>187</v>
      </c>
      <c r="J176" s="44"/>
      <c r="K176" s="35">
        <v>0</v>
      </c>
      <c r="L176" s="35">
        <v>0</v>
      </c>
      <c r="M176" s="35">
        <v>0.70069999999999999</v>
      </c>
      <c r="N176" s="21"/>
      <c r="O176" s="2" t="s">
        <v>187</v>
      </c>
      <c r="Q176" s="22"/>
      <c r="R176" s="2"/>
      <c r="S176" s="2"/>
      <c r="T176" s="2"/>
      <c r="U176" s="34">
        <f t="shared" si="2"/>
        <v>0.70069999999999999</v>
      </c>
    </row>
    <row r="177" spans="1:21" x14ac:dyDescent="0.2">
      <c r="A177" s="18" t="s">
        <v>539</v>
      </c>
      <c r="B177" s="19" t="s">
        <v>540</v>
      </c>
      <c r="C177" s="19" t="s">
        <v>541</v>
      </c>
      <c r="D177" s="20">
        <v>3.5253602850000001</v>
      </c>
      <c r="E177" s="20">
        <v>4.9208616032499997</v>
      </c>
      <c r="F177" s="1">
        <v>0.5834071913683323</v>
      </c>
      <c r="G177" s="42"/>
      <c r="J177" s="44" t="s">
        <v>187</v>
      </c>
      <c r="K177" s="35">
        <v>8.6199999999999999E-2</v>
      </c>
      <c r="L177" s="35">
        <v>0.06</v>
      </c>
      <c r="M177" s="35">
        <v>0</v>
      </c>
      <c r="N177" s="21"/>
      <c r="Q177" s="22"/>
      <c r="R177" s="2"/>
      <c r="S177" s="2"/>
      <c r="T177" s="2"/>
      <c r="U177" s="34">
        <f t="shared" si="2"/>
        <v>8.6199999999999999E-2</v>
      </c>
    </row>
    <row r="178" spans="1:21" x14ac:dyDescent="0.2">
      <c r="A178" s="18" t="s">
        <v>542</v>
      </c>
      <c r="B178" s="19" t="s">
        <v>543</v>
      </c>
      <c r="C178" s="19" t="s">
        <v>544</v>
      </c>
      <c r="D178" s="20">
        <v>0.31594922833333333</v>
      </c>
      <c r="E178" s="20">
        <v>0.130146078</v>
      </c>
      <c r="F178" s="1">
        <v>0.51268391970836047</v>
      </c>
      <c r="G178" s="42"/>
      <c r="I178" s="43" t="s">
        <v>187</v>
      </c>
      <c r="J178" s="44"/>
      <c r="K178" s="35">
        <v>0</v>
      </c>
      <c r="L178" s="35">
        <v>0</v>
      </c>
      <c r="M178" s="35">
        <v>0.96709999999999996</v>
      </c>
      <c r="N178" s="21"/>
      <c r="O178" s="2" t="s">
        <v>187</v>
      </c>
      <c r="Q178" s="22"/>
      <c r="R178" s="2"/>
      <c r="S178" s="2"/>
      <c r="T178" s="2"/>
      <c r="U178" s="34">
        <f t="shared" si="2"/>
        <v>0.96709999999999996</v>
      </c>
    </row>
    <row r="179" spans="1:21" x14ac:dyDescent="0.2">
      <c r="A179" s="18" t="s">
        <v>545</v>
      </c>
      <c r="B179" s="19" t="s">
        <v>546</v>
      </c>
      <c r="C179" s="19" t="s">
        <v>547</v>
      </c>
      <c r="D179" s="20">
        <v>0.26822049575000001</v>
      </c>
      <c r="E179" s="20">
        <v>0.9018738595000001</v>
      </c>
      <c r="F179" s="1">
        <v>0.16949958161773784</v>
      </c>
      <c r="G179" s="42"/>
      <c r="I179" s="43" t="s">
        <v>187</v>
      </c>
      <c r="J179" s="44"/>
      <c r="K179" s="35">
        <v>0</v>
      </c>
      <c r="L179" s="35">
        <v>2.0000000000000001E-4</v>
      </c>
      <c r="M179" s="35">
        <v>0.93430000000000002</v>
      </c>
      <c r="N179" s="21"/>
      <c r="O179" s="2" t="s">
        <v>187</v>
      </c>
      <c r="Q179" s="22"/>
      <c r="R179" s="2"/>
      <c r="S179" s="2"/>
      <c r="T179" s="2"/>
      <c r="U179" s="34">
        <f t="shared" si="2"/>
        <v>0.93430000000000002</v>
      </c>
    </row>
    <row r="180" spans="1:21" x14ac:dyDescent="0.2">
      <c r="A180" s="18" t="s">
        <v>548</v>
      </c>
      <c r="B180" s="19" t="s">
        <v>549</v>
      </c>
      <c r="C180" s="19" t="s">
        <v>550</v>
      </c>
      <c r="D180" s="20">
        <v>0.29200792225</v>
      </c>
      <c r="E180" s="20">
        <v>9.9033428999999992E-2</v>
      </c>
      <c r="F180" s="1">
        <v>0.1642326454658963</v>
      </c>
      <c r="G180" s="42"/>
      <c r="I180" s="43" t="s">
        <v>187</v>
      </c>
      <c r="J180" s="44"/>
      <c r="K180" s="35">
        <v>0</v>
      </c>
      <c r="L180" s="35">
        <v>0</v>
      </c>
      <c r="M180" s="35">
        <v>0.96209999999999996</v>
      </c>
      <c r="N180" s="21"/>
      <c r="O180" s="2" t="s">
        <v>187</v>
      </c>
      <c r="Q180" s="22"/>
      <c r="R180" s="2"/>
      <c r="S180" s="2"/>
      <c r="T180" s="2"/>
      <c r="U180" s="34">
        <f t="shared" si="2"/>
        <v>0.96209999999999996</v>
      </c>
    </row>
    <row r="181" spans="1:21" x14ac:dyDescent="0.2">
      <c r="A181" s="18" t="s">
        <v>551</v>
      </c>
      <c r="B181" s="19" t="s">
        <v>552</v>
      </c>
      <c r="C181" s="19" t="s">
        <v>553</v>
      </c>
      <c r="D181" s="20">
        <v>8.6435218984999995</v>
      </c>
      <c r="E181" s="20">
        <v>8.2429559890000004</v>
      </c>
      <c r="F181" s="1">
        <v>20.452243266923727</v>
      </c>
      <c r="G181" s="42" t="s">
        <v>187</v>
      </c>
      <c r="J181" s="44"/>
      <c r="K181" s="35">
        <v>0.90859999999999996</v>
      </c>
      <c r="L181" s="35">
        <v>1.1000000000000001E-3</v>
      </c>
      <c r="M181" s="35">
        <v>0</v>
      </c>
      <c r="N181" s="21"/>
      <c r="P181" s="2" t="s">
        <v>187</v>
      </c>
      <c r="Q181" s="22"/>
      <c r="R181" s="2"/>
      <c r="S181" s="2"/>
      <c r="T181" s="2"/>
      <c r="U181" s="34">
        <f t="shared" si="2"/>
        <v>0.90859999999999996</v>
      </c>
    </row>
    <row r="182" spans="1:21" x14ac:dyDescent="0.2">
      <c r="A182" s="18" t="s">
        <v>554</v>
      </c>
      <c r="B182" s="19" t="s">
        <v>555</v>
      </c>
      <c r="C182" s="19" t="s">
        <v>556</v>
      </c>
      <c r="D182" s="20">
        <v>16.83867313675</v>
      </c>
      <c r="E182" s="20">
        <v>17.247571025000003</v>
      </c>
      <c r="F182" s="1">
        <v>0.58108746942216483</v>
      </c>
      <c r="G182" s="42" t="s">
        <v>187</v>
      </c>
      <c r="J182" s="44"/>
      <c r="K182" s="35">
        <v>0.98140000000000005</v>
      </c>
      <c r="L182" s="35">
        <v>2.0000000000000001E-4</v>
      </c>
      <c r="M182" s="35">
        <v>0</v>
      </c>
      <c r="N182" s="21"/>
      <c r="Q182" s="22" t="s">
        <v>187</v>
      </c>
      <c r="R182" s="2"/>
      <c r="S182" s="2"/>
      <c r="T182" s="2"/>
      <c r="U182" s="34">
        <f t="shared" si="2"/>
        <v>0.98140000000000005</v>
      </c>
    </row>
    <row r="183" spans="1:21" x14ac:dyDescent="0.2">
      <c r="A183" s="18" t="s">
        <v>557</v>
      </c>
      <c r="B183" s="19" t="s">
        <v>558</v>
      </c>
      <c r="C183" s="19" t="s">
        <v>559</v>
      </c>
      <c r="D183" s="20">
        <v>6.2055845593333325</v>
      </c>
      <c r="E183" s="20">
        <v>4.7571908675000003</v>
      </c>
      <c r="F183" s="1">
        <v>6.0654340102387208</v>
      </c>
      <c r="G183" s="42"/>
      <c r="J183" s="44" t="s">
        <v>187</v>
      </c>
      <c r="K183" s="35">
        <v>0.16830000000000001</v>
      </c>
      <c r="L183" s="35">
        <v>2E-3</v>
      </c>
      <c r="M183" s="35">
        <v>0</v>
      </c>
      <c r="N183" s="21"/>
      <c r="Q183" s="22"/>
      <c r="R183" s="2"/>
      <c r="S183" s="2"/>
      <c r="T183" s="2"/>
      <c r="U183" s="34">
        <f t="shared" si="2"/>
        <v>0.16830000000000001</v>
      </c>
    </row>
    <row r="184" spans="1:21" x14ac:dyDescent="0.2">
      <c r="A184" s="18" t="s">
        <v>560</v>
      </c>
      <c r="B184" s="19" t="s">
        <v>561</v>
      </c>
      <c r="C184" s="19" t="s">
        <v>562</v>
      </c>
      <c r="D184" s="20">
        <v>0.17890939174999998</v>
      </c>
      <c r="E184" s="20">
        <v>7.3182523750000006E-2</v>
      </c>
      <c r="F184" s="1">
        <v>0</v>
      </c>
      <c r="G184" s="42"/>
      <c r="I184" s="43" t="s">
        <v>187</v>
      </c>
      <c r="J184" s="44"/>
      <c r="K184" s="35">
        <v>0</v>
      </c>
      <c r="L184" s="35">
        <v>0</v>
      </c>
      <c r="M184" s="35">
        <v>0.91749999999999998</v>
      </c>
      <c r="N184" s="21"/>
      <c r="O184" s="2" t="s">
        <v>187</v>
      </c>
      <c r="Q184" s="22"/>
      <c r="R184" s="2"/>
      <c r="S184" s="2"/>
      <c r="T184" s="2"/>
      <c r="U184" s="34">
        <f t="shared" si="2"/>
        <v>0.91749999999999998</v>
      </c>
    </row>
    <row r="185" spans="1:21" x14ac:dyDescent="0.2">
      <c r="A185" s="18" t="s">
        <v>563</v>
      </c>
      <c r="B185" s="19" t="s">
        <v>564</v>
      </c>
      <c r="C185" s="19" t="s">
        <v>565</v>
      </c>
      <c r="D185" s="20">
        <v>0.13965221666666669</v>
      </c>
      <c r="E185" s="20">
        <v>3.0627999999999999E-2</v>
      </c>
      <c r="F185" s="1">
        <v>0</v>
      </c>
      <c r="G185" s="42"/>
      <c r="I185" s="43" t="s">
        <v>187</v>
      </c>
      <c r="J185" s="44"/>
      <c r="K185" s="35">
        <v>0</v>
      </c>
      <c r="L185" s="35">
        <v>0</v>
      </c>
      <c r="M185" s="35">
        <v>0.68840000000000001</v>
      </c>
      <c r="N185" s="21"/>
      <c r="O185" s="2" t="s">
        <v>187</v>
      </c>
      <c r="Q185" s="22"/>
      <c r="R185" s="2"/>
      <c r="S185" s="2"/>
      <c r="T185" s="2"/>
      <c r="U185" s="34">
        <f t="shared" si="2"/>
        <v>0.68840000000000001</v>
      </c>
    </row>
    <row r="186" spans="1:21" x14ac:dyDescent="0.2">
      <c r="A186" s="18" t="s">
        <v>566</v>
      </c>
      <c r="B186" s="19" t="s">
        <v>567</v>
      </c>
      <c r="C186" s="19" t="s">
        <v>568</v>
      </c>
      <c r="D186" s="20">
        <v>5.0178771334999999</v>
      </c>
      <c r="E186" s="20">
        <v>4.9101635539999995</v>
      </c>
      <c r="F186" s="1">
        <v>8.9410508101337118</v>
      </c>
      <c r="G186" s="42"/>
      <c r="J186" s="44" t="s">
        <v>187</v>
      </c>
      <c r="K186" s="35">
        <v>0.16850000000000001</v>
      </c>
      <c r="L186" s="35">
        <v>8.8000000000000005E-3</v>
      </c>
      <c r="M186" s="35">
        <v>0</v>
      </c>
      <c r="N186" s="21"/>
      <c r="Q186" s="22"/>
      <c r="R186" s="2"/>
      <c r="S186" s="2"/>
      <c r="T186" s="2"/>
      <c r="U186" s="34">
        <f t="shared" si="2"/>
        <v>0.16850000000000001</v>
      </c>
    </row>
    <row r="187" spans="1:21" x14ac:dyDescent="0.2">
      <c r="A187" s="18" t="s">
        <v>569</v>
      </c>
      <c r="B187" s="19" t="s">
        <v>570</v>
      </c>
      <c r="C187" s="19" t="s">
        <v>571</v>
      </c>
      <c r="D187" s="20">
        <v>0.32054910074999998</v>
      </c>
      <c r="E187" s="20">
        <v>0.66084498850000006</v>
      </c>
      <c r="F187" s="1">
        <v>0.17861246234953035</v>
      </c>
      <c r="G187" s="42"/>
      <c r="I187" s="43" t="s">
        <v>187</v>
      </c>
      <c r="J187" s="44"/>
      <c r="K187" s="35">
        <v>0</v>
      </c>
      <c r="L187" s="35">
        <v>0</v>
      </c>
      <c r="M187" s="35">
        <v>0.95699999999999996</v>
      </c>
      <c r="N187" s="21"/>
      <c r="O187" s="2" t="s">
        <v>187</v>
      </c>
      <c r="Q187" s="22"/>
      <c r="R187" s="2"/>
      <c r="S187" s="2"/>
      <c r="T187" s="2"/>
      <c r="U187" s="34">
        <f t="shared" si="2"/>
        <v>0.95699999999999996</v>
      </c>
    </row>
    <row r="188" spans="1:21" x14ac:dyDescent="0.2">
      <c r="A188" s="18" t="s">
        <v>572</v>
      </c>
      <c r="B188" s="19" t="s">
        <v>573</v>
      </c>
      <c r="C188" s="19" t="s">
        <v>574</v>
      </c>
      <c r="D188" s="20">
        <v>1.1868000000000001</v>
      </c>
      <c r="E188" s="20">
        <v>29.151970923333334</v>
      </c>
      <c r="F188" s="1">
        <v>6.4115098246322919</v>
      </c>
      <c r="G188" s="42"/>
      <c r="H188" s="43" t="s">
        <v>187</v>
      </c>
      <c r="J188" s="44"/>
      <c r="K188" s="35">
        <v>8.9999999999999998E-4</v>
      </c>
      <c r="L188" s="35">
        <v>0.93740000000000001</v>
      </c>
      <c r="M188" s="35">
        <v>0</v>
      </c>
      <c r="N188" s="21"/>
      <c r="O188" s="2" t="s">
        <v>187</v>
      </c>
      <c r="Q188" s="22"/>
      <c r="R188" s="2"/>
      <c r="S188" s="2"/>
      <c r="T188" s="2"/>
      <c r="U188" s="34">
        <f t="shared" si="2"/>
        <v>0.93740000000000001</v>
      </c>
    </row>
    <row r="189" spans="1:21" x14ac:dyDescent="0.2">
      <c r="A189" s="18" t="s">
        <v>575</v>
      </c>
      <c r="B189" s="19" t="s">
        <v>576</v>
      </c>
      <c r="C189" s="19" t="s">
        <v>577</v>
      </c>
      <c r="D189" s="20">
        <v>11.555962860000001</v>
      </c>
      <c r="E189" s="20">
        <v>24.391522204999998</v>
      </c>
      <c r="F189" s="1">
        <v>0.54363138540545752</v>
      </c>
      <c r="G189" s="42" t="s">
        <v>187</v>
      </c>
      <c r="J189" s="44"/>
      <c r="K189" s="35">
        <v>0.97809999999999997</v>
      </c>
      <c r="L189" s="35">
        <v>4.1999999999999997E-3</v>
      </c>
      <c r="M189" s="35">
        <v>0</v>
      </c>
      <c r="N189" s="21"/>
      <c r="P189" s="2" t="s">
        <v>187</v>
      </c>
      <c r="Q189" s="22"/>
      <c r="R189" s="2"/>
      <c r="S189" s="2"/>
      <c r="T189" s="2"/>
      <c r="U189" s="34">
        <f t="shared" si="2"/>
        <v>0.97809999999999997</v>
      </c>
    </row>
    <row r="190" spans="1:21" x14ac:dyDescent="0.2">
      <c r="A190" s="18" t="s">
        <v>578</v>
      </c>
      <c r="B190" s="19" t="s">
        <v>579</v>
      </c>
      <c r="C190" s="19" t="s">
        <v>580</v>
      </c>
      <c r="D190" s="20">
        <v>27.839569782250003</v>
      </c>
      <c r="E190" s="20">
        <v>18.415505950000004</v>
      </c>
      <c r="F190" s="1">
        <v>0.45050584210189876</v>
      </c>
      <c r="G190" s="48" t="s">
        <v>187</v>
      </c>
      <c r="J190" s="44"/>
      <c r="K190" s="35">
        <v>0.94969999999999999</v>
      </c>
      <c r="L190" s="35">
        <v>0</v>
      </c>
      <c r="M190" s="35">
        <v>0</v>
      </c>
      <c r="N190" s="21"/>
      <c r="P190" s="2" t="s">
        <v>187</v>
      </c>
      <c r="Q190" s="22"/>
      <c r="R190" s="2"/>
      <c r="S190" s="2"/>
      <c r="T190" s="2"/>
      <c r="U190" s="34">
        <f t="shared" si="2"/>
        <v>0.94969999999999999</v>
      </c>
    </row>
    <row r="191" spans="1:21" x14ac:dyDescent="0.2">
      <c r="A191" s="18" t="s">
        <v>581</v>
      </c>
      <c r="B191" s="19" t="s">
        <v>582</v>
      </c>
      <c r="C191" s="19" t="s">
        <v>583</v>
      </c>
      <c r="D191" s="20">
        <v>0.23486253400000001</v>
      </c>
      <c r="E191" s="20">
        <v>4.8652949959999994</v>
      </c>
      <c r="F191" s="1">
        <v>0</v>
      </c>
      <c r="G191" s="42"/>
      <c r="H191" s="43" t="s">
        <v>187</v>
      </c>
      <c r="J191" s="44"/>
      <c r="K191" s="35">
        <v>0</v>
      </c>
      <c r="L191" s="35">
        <v>0.85119999999999996</v>
      </c>
      <c r="M191" s="35">
        <v>5.0099999999999999E-2</v>
      </c>
      <c r="N191" s="21"/>
      <c r="O191" s="2" t="s">
        <v>187</v>
      </c>
      <c r="Q191" s="22"/>
      <c r="R191" s="2"/>
      <c r="S191" s="2"/>
      <c r="T191" s="2"/>
      <c r="U191" s="34">
        <f t="shared" si="2"/>
        <v>0.85119999999999996</v>
      </c>
    </row>
    <row r="192" spans="1:21" x14ac:dyDescent="0.2">
      <c r="A192" s="18" t="s">
        <v>584</v>
      </c>
      <c r="B192" s="19" t="s">
        <v>585</v>
      </c>
      <c r="C192" s="19" t="s">
        <v>586</v>
      </c>
      <c r="D192" s="20">
        <v>0.4258079535</v>
      </c>
      <c r="E192" s="20">
        <v>5.9660724427500007</v>
      </c>
      <c r="F192" s="1">
        <v>0.29957575308252993</v>
      </c>
      <c r="G192" s="42"/>
      <c r="H192" s="43" t="s">
        <v>187</v>
      </c>
      <c r="J192" s="44"/>
      <c r="K192" s="35">
        <v>0</v>
      </c>
      <c r="L192" s="35">
        <v>0.92069999999999996</v>
      </c>
      <c r="M192" s="35">
        <v>2.98E-2</v>
      </c>
      <c r="N192" s="21"/>
      <c r="O192" s="2" t="s">
        <v>187</v>
      </c>
      <c r="P192" s="2" t="s">
        <v>187</v>
      </c>
      <c r="Q192" s="22"/>
      <c r="R192" s="2"/>
      <c r="S192" s="2"/>
      <c r="T192" s="2"/>
      <c r="U192" s="34">
        <f t="shared" si="2"/>
        <v>0.92069999999999996</v>
      </c>
    </row>
    <row r="193" spans="1:21" x14ac:dyDescent="0.2">
      <c r="A193" s="18" t="s">
        <v>587</v>
      </c>
      <c r="B193" s="19" t="s">
        <v>588</v>
      </c>
      <c r="C193" s="19" t="s">
        <v>589</v>
      </c>
      <c r="D193" s="20">
        <v>34.757512200000001</v>
      </c>
      <c r="E193" s="20">
        <v>32.342956540000003</v>
      </c>
      <c r="F193" s="1">
        <v>0.84592846751750295</v>
      </c>
      <c r="G193" s="48" t="s">
        <v>187</v>
      </c>
      <c r="J193" s="44"/>
      <c r="K193" s="35">
        <v>0.81399999999999995</v>
      </c>
      <c r="L193" s="35">
        <v>2.0000000000000001E-4</v>
      </c>
      <c r="M193" s="35">
        <v>0</v>
      </c>
      <c r="N193" s="21"/>
      <c r="P193" s="2" t="s">
        <v>187</v>
      </c>
      <c r="Q193" s="22"/>
      <c r="R193" s="2"/>
      <c r="S193" s="2"/>
      <c r="T193" s="2"/>
      <c r="U193" s="34">
        <f t="shared" si="2"/>
        <v>0.81399999999999995</v>
      </c>
    </row>
    <row r="194" spans="1:21" x14ac:dyDescent="0.2">
      <c r="A194" s="18" t="s">
        <v>590</v>
      </c>
      <c r="B194" s="19" t="s">
        <v>591</v>
      </c>
      <c r="C194" s="19" t="s">
        <v>592</v>
      </c>
      <c r="D194" s="20">
        <v>6.4350382260000005</v>
      </c>
      <c r="E194" s="20">
        <v>16.449134920000002</v>
      </c>
      <c r="F194" s="1">
        <v>0.28044476231229776</v>
      </c>
      <c r="G194" s="42" t="s">
        <v>187</v>
      </c>
      <c r="J194" s="44"/>
      <c r="K194" s="35">
        <v>0.96030000000000004</v>
      </c>
      <c r="L194" s="35">
        <v>2.0799999999999999E-2</v>
      </c>
      <c r="M194" s="35">
        <v>0</v>
      </c>
      <c r="N194" s="21"/>
      <c r="Q194" s="22" t="s">
        <v>187</v>
      </c>
      <c r="R194" s="2"/>
      <c r="S194" s="2"/>
      <c r="T194" s="2"/>
      <c r="U194" s="34">
        <f t="shared" ref="U194:U257" si="3">MAX(K194:M194)</f>
        <v>0.96030000000000004</v>
      </c>
    </row>
    <row r="195" spans="1:21" x14ac:dyDescent="0.2">
      <c r="A195" s="18" t="s">
        <v>593</v>
      </c>
      <c r="B195" s="19" t="s">
        <v>594</v>
      </c>
      <c r="C195" s="19" t="s">
        <v>595</v>
      </c>
      <c r="D195" s="20">
        <v>0.24789471825000001</v>
      </c>
      <c r="E195" s="20">
        <v>0.10197797550000001</v>
      </c>
      <c r="F195" s="1">
        <v>0.44062500250396525</v>
      </c>
      <c r="G195" s="42"/>
      <c r="I195" s="43" t="s">
        <v>187</v>
      </c>
      <c r="J195" s="44"/>
      <c r="K195" s="35">
        <v>0</v>
      </c>
      <c r="L195" s="35">
        <v>0</v>
      </c>
      <c r="M195" s="35">
        <v>0.95989999999999998</v>
      </c>
      <c r="N195" s="21"/>
      <c r="O195" s="2" t="s">
        <v>187</v>
      </c>
      <c r="Q195" s="22"/>
      <c r="R195" s="2"/>
      <c r="S195" s="2"/>
      <c r="T195" s="2"/>
      <c r="U195" s="34">
        <f t="shared" si="3"/>
        <v>0.95989999999999998</v>
      </c>
    </row>
    <row r="196" spans="1:21" x14ac:dyDescent="0.2">
      <c r="A196" s="18" t="s">
        <v>596</v>
      </c>
      <c r="B196" s="19" t="s">
        <v>597</v>
      </c>
      <c r="C196" s="19" t="s">
        <v>598</v>
      </c>
      <c r="D196" s="20">
        <v>0.31477085549999995</v>
      </c>
      <c r="E196" s="20">
        <v>0.17756946749999999</v>
      </c>
      <c r="F196" s="1">
        <v>0</v>
      </c>
      <c r="G196" s="42"/>
      <c r="I196" s="43" t="s">
        <v>187</v>
      </c>
      <c r="J196" s="44"/>
      <c r="K196" s="35">
        <v>0</v>
      </c>
      <c r="L196" s="35">
        <v>0</v>
      </c>
      <c r="M196" s="35">
        <v>0.97040000000000004</v>
      </c>
      <c r="N196" s="21"/>
      <c r="O196" s="2" t="s">
        <v>187</v>
      </c>
      <c r="Q196" s="22"/>
      <c r="R196" s="2"/>
      <c r="S196" s="2"/>
      <c r="T196" s="2"/>
      <c r="U196" s="34">
        <f t="shared" si="3"/>
        <v>0.97040000000000004</v>
      </c>
    </row>
    <row r="197" spans="1:21" x14ac:dyDescent="0.2">
      <c r="A197" s="18" t="s">
        <v>599</v>
      </c>
      <c r="B197" s="19" t="s">
        <v>600</v>
      </c>
      <c r="C197" s="19" t="s">
        <v>601</v>
      </c>
      <c r="D197" s="20">
        <v>0.62996927999999996</v>
      </c>
      <c r="E197" s="20">
        <v>0.53191489400000003</v>
      </c>
      <c r="F197" s="1">
        <v>3.3059347533272723</v>
      </c>
      <c r="G197" s="42"/>
      <c r="I197" s="43" t="s">
        <v>187</v>
      </c>
      <c r="J197" s="44"/>
      <c r="K197" s="35">
        <v>0</v>
      </c>
      <c r="L197" s="35">
        <v>0</v>
      </c>
      <c r="M197" s="35">
        <v>0.89990000000000003</v>
      </c>
      <c r="N197" s="21"/>
      <c r="O197" s="2" t="s">
        <v>187</v>
      </c>
      <c r="Q197" s="22"/>
      <c r="R197" s="2"/>
      <c r="S197" s="2"/>
      <c r="T197" s="2"/>
      <c r="U197" s="34">
        <f t="shared" si="3"/>
        <v>0.89990000000000003</v>
      </c>
    </row>
    <row r="198" spans="1:21" x14ac:dyDescent="0.2">
      <c r="A198" s="18" t="s">
        <v>602</v>
      </c>
      <c r="B198" s="19" t="s">
        <v>603</v>
      </c>
      <c r="C198" s="19" t="s">
        <v>604</v>
      </c>
      <c r="D198" s="20">
        <v>7.331414316</v>
      </c>
      <c r="E198" s="20" t="s">
        <v>180</v>
      </c>
      <c r="F198" s="1">
        <v>0.26366601584937016</v>
      </c>
      <c r="G198" s="42" t="s">
        <v>187</v>
      </c>
      <c r="J198" s="44"/>
      <c r="K198" s="35" t="e">
        <v>#N/A</v>
      </c>
      <c r="L198" s="35" t="e">
        <v>#N/A</v>
      </c>
      <c r="M198" s="35" t="e">
        <v>#N/A</v>
      </c>
      <c r="N198" s="21"/>
      <c r="Q198" s="22" t="s">
        <v>187</v>
      </c>
      <c r="R198" s="2"/>
      <c r="S198" s="2"/>
      <c r="T198" s="2"/>
      <c r="U198" s="34" t="e">
        <f t="shared" si="3"/>
        <v>#N/A</v>
      </c>
    </row>
    <row r="199" spans="1:21" x14ac:dyDescent="0.2">
      <c r="A199" s="18" t="s">
        <v>605</v>
      </c>
      <c r="B199" s="19" t="s">
        <v>606</v>
      </c>
      <c r="C199" s="19" t="s">
        <v>607</v>
      </c>
      <c r="D199" s="20">
        <v>2.3011406805000001</v>
      </c>
      <c r="E199" s="20">
        <v>12.70708035525</v>
      </c>
      <c r="F199" s="1">
        <v>0.23395716899298447</v>
      </c>
      <c r="G199" s="42"/>
      <c r="H199" s="43" t="s">
        <v>187</v>
      </c>
      <c r="J199" s="44"/>
      <c r="K199" s="35">
        <v>0.1149</v>
      </c>
      <c r="L199" s="35">
        <v>0.82769999999999999</v>
      </c>
      <c r="M199" s="35">
        <v>0</v>
      </c>
      <c r="N199" s="21"/>
      <c r="O199" s="2" t="s">
        <v>187</v>
      </c>
      <c r="Q199" s="22"/>
      <c r="R199" s="2"/>
      <c r="S199" s="2"/>
      <c r="T199" s="2"/>
      <c r="U199" s="34">
        <f t="shared" si="3"/>
        <v>0.82769999999999999</v>
      </c>
    </row>
    <row r="200" spans="1:21" x14ac:dyDescent="0.2">
      <c r="A200" s="18" t="s">
        <v>608</v>
      </c>
      <c r="B200" s="19" t="s">
        <v>609</v>
      </c>
      <c r="C200" s="19" t="s">
        <v>610</v>
      </c>
      <c r="D200" s="20">
        <v>0.19272391024999999</v>
      </c>
      <c r="E200" s="20">
        <v>0.39444283666666663</v>
      </c>
      <c r="F200" s="1">
        <v>0.35990411163429709</v>
      </c>
      <c r="G200" s="42"/>
      <c r="I200" s="43" t="s">
        <v>187</v>
      </c>
      <c r="J200" s="44"/>
      <c r="K200" s="35">
        <v>0</v>
      </c>
      <c r="L200" s="35">
        <v>0</v>
      </c>
      <c r="M200" s="35">
        <v>0.93700000000000006</v>
      </c>
      <c r="N200" s="21"/>
      <c r="O200" s="2" t="s">
        <v>187</v>
      </c>
      <c r="Q200" s="22"/>
      <c r="R200" s="2"/>
      <c r="S200" s="2"/>
      <c r="T200" s="2"/>
      <c r="U200" s="34">
        <f t="shared" si="3"/>
        <v>0.93700000000000006</v>
      </c>
    </row>
    <row r="201" spans="1:21" x14ac:dyDescent="0.2">
      <c r="A201" s="18" t="s">
        <v>611</v>
      </c>
      <c r="B201" s="19" t="s">
        <v>612</v>
      </c>
      <c r="C201" s="19" t="s">
        <v>613</v>
      </c>
      <c r="D201" s="20">
        <v>3.0884</v>
      </c>
      <c r="E201" s="20">
        <v>5.12195</v>
      </c>
      <c r="F201" s="1">
        <v>2.0113029618153098</v>
      </c>
      <c r="G201" s="42"/>
      <c r="J201" s="44" t="s">
        <v>187</v>
      </c>
      <c r="K201" s="35">
        <v>7.5600000000000001E-2</v>
      </c>
      <c r="L201" s="35">
        <v>0.13189999999999999</v>
      </c>
      <c r="M201" s="35">
        <v>0</v>
      </c>
      <c r="N201" s="21"/>
      <c r="Q201" s="22"/>
      <c r="R201" s="2"/>
      <c r="S201" s="2"/>
      <c r="T201" s="2"/>
      <c r="U201" s="34">
        <f t="shared" si="3"/>
        <v>0.13189999999999999</v>
      </c>
    </row>
    <row r="202" spans="1:21" x14ac:dyDescent="0.2">
      <c r="A202" s="18" t="s">
        <v>614</v>
      </c>
      <c r="B202" s="19" t="s">
        <v>615</v>
      </c>
      <c r="C202" s="19" t="s">
        <v>616</v>
      </c>
      <c r="D202" s="20">
        <v>0.34227160425000003</v>
      </c>
      <c r="E202" s="20">
        <v>4.6057084154999997</v>
      </c>
      <c r="F202" s="1">
        <v>0.25674445949595365</v>
      </c>
      <c r="G202" s="42"/>
      <c r="H202" s="43" t="s">
        <v>187</v>
      </c>
      <c r="J202" s="44"/>
      <c r="K202" s="35">
        <v>0</v>
      </c>
      <c r="L202" s="35">
        <v>0.83589999999999998</v>
      </c>
      <c r="M202" s="35">
        <v>8.5400000000000004E-2</v>
      </c>
      <c r="N202" s="21"/>
      <c r="O202" s="2" t="s">
        <v>187</v>
      </c>
      <c r="Q202" s="22"/>
      <c r="R202" s="2"/>
      <c r="S202" s="2"/>
      <c r="T202" s="2"/>
      <c r="U202" s="34">
        <f t="shared" si="3"/>
        <v>0.83589999999999998</v>
      </c>
    </row>
    <row r="203" spans="1:21" x14ac:dyDescent="0.2">
      <c r="A203" s="18" t="s">
        <v>617</v>
      </c>
      <c r="B203" s="19" t="s">
        <v>618</v>
      </c>
      <c r="C203" s="19" t="s">
        <v>619</v>
      </c>
      <c r="D203" s="20">
        <v>16.614311294</v>
      </c>
      <c r="E203" s="20">
        <v>15.418467461999999</v>
      </c>
      <c r="F203" s="1">
        <v>0.24650966550286468</v>
      </c>
      <c r="G203" s="42" t="s">
        <v>187</v>
      </c>
      <c r="J203" s="44"/>
      <c r="K203" s="35">
        <v>0.97989999999999999</v>
      </c>
      <c r="L203" s="35">
        <v>1E-4</v>
      </c>
      <c r="M203" s="35">
        <v>0</v>
      </c>
      <c r="N203" s="21"/>
      <c r="Q203" s="22" t="s">
        <v>187</v>
      </c>
      <c r="R203" s="2"/>
      <c r="S203" s="2"/>
      <c r="T203" s="2"/>
      <c r="U203" s="34">
        <f t="shared" si="3"/>
        <v>0.97989999999999999</v>
      </c>
    </row>
    <row r="204" spans="1:21" x14ac:dyDescent="0.2">
      <c r="A204" s="18" t="s">
        <v>620</v>
      </c>
      <c r="B204" s="19" t="s">
        <v>621</v>
      </c>
      <c r="C204" s="19" t="s">
        <v>622</v>
      </c>
      <c r="D204" s="20">
        <v>0.29143130299999997</v>
      </c>
      <c r="E204" s="20">
        <v>1.0424454510000001</v>
      </c>
      <c r="F204" s="1">
        <v>8.536187263116167</v>
      </c>
      <c r="G204" s="42"/>
      <c r="I204" s="43" t="s">
        <v>187</v>
      </c>
      <c r="J204" s="44"/>
      <c r="K204" s="35">
        <v>0</v>
      </c>
      <c r="L204" s="35">
        <v>5.9999999999999995E-4</v>
      </c>
      <c r="M204" s="35">
        <v>0.92920000000000003</v>
      </c>
      <c r="N204" s="21"/>
      <c r="O204" s="2" t="s">
        <v>187</v>
      </c>
      <c r="Q204" s="22"/>
      <c r="R204" s="2"/>
      <c r="S204" s="2"/>
      <c r="T204" s="2"/>
      <c r="U204" s="34">
        <f t="shared" si="3"/>
        <v>0.92920000000000003</v>
      </c>
    </row>
    <row r="205" spans="1:21" x14ac:dyDescent="0.2">
      <c r="A205" s="18" t="s">
        <v>623</v>
      </c>
      <c r="B205" s="19" t="s">
        <v>624</v>
      </c>
      <c r="C205" s="19" t="s">
        <v>625</v>
      </c>
      <c r="D205" s="20">
        <v>0.31339009249999999</v>
      </c>
      <c r="E205" s="20">
        <v>0.49125390924999995</v>
      </c>
      <c r="F205" s="1">
        <v>1.7476113113012632</v>
      </c>
      <c r="G205" s="42"/>
      <c r="I205" s="43" t="s">
        <v>187</v>
      </c>
      <c r="J205" s="44"/>
      <c r="K205" s="35">
        <v>0</v>
      </c>
      <c r="L205" s="35">
        <v>0</v>
      </c>
      <c r="M205" s="35">
        <v>0.96460000000000001</v>
      </c>
      <c r="N205" s="21" t="s">
        <v>187</v>
      </c>
      <c r="Q205" s="22"/>
      <c r="R205" s="2"/>
      <c r="S205" s="2"/>
      <c r="T205" s="2"/>
      <c r="U205" s="34">
        <f t="shared" si="3"/>
        <v>0.96460000000000001</v>
      </c>
    </row>
    <row r="206" spans="1:21" x14ac:dyDescent="0.2">
      <c r="A206" s="18" t="s">
        <v>626</v>
      </c>
      <c r="B206" s="19" t="s">
        <v>627</v>
      </c>
      <c r="C206" s="19" t="s">
        <v>628</v>
      </c>
      <c r="D206" s="20">
        <v>0.91000154275</v>
      </c>
      <c r="E206" s="20">
        <v>3.7565205250000004</v>
      </c>
      <c r="F206" s="1">
        <v>0.18876089771020088</v>
      </c>
      <c r="G206" s="42"/>
      <c r="J206" s="44" t="s">
        <v>187</v>
      </c>
      <c r="K206" s="35">
        <v>0</v>
      </c>
      <c r="L206" s="35">
        <v>0.61509999999999998</v>
      </c>
      <c r="M206" s="35">
        <v>7.7299999999999994E-2</v>
      </c>
      <c r="N206" s="21"/>
      <c r="Q206" s="22"/>
      <c r="R206" s="2"/>
      <c r="S206" s="2"/>
      <c r="T206" s="2"/>
      <c r="U206" s="34">
        <f t="shared" si="3"/>
        <v>0.61509999999999998</v>
      </c>
    </row>
    <row r="207" spans="1:21" x14ac:dyDescent="0.2">
      <c r="A207" s="18" t="s">
        <v>629</v>
      </c>
      <c r="B207" s="19" t="s">
        <v>630</v>
      </c>
      <c r="C207" s="19" t="s">
        <v>631</v>
      </c>
      <c r="D207" s="20">
        <v>5.8569525784999996</v>
      </c>
      <c r="E207" s="20">
        <v>6.4676581420000012</v>
      </c>
      <c r="F207" s="1">
        <v>2.5262500143554454</v>
      </c>
      <c r="G207" s="42" t="s">
        <v>187</v>
      </c>
      <c r="J207" s="44"/>
      <c r="K207" s="35">
        <v>0.64880000000000004</v>
      </c>
      <c r="L207" s="35">
        <v>9.4000000000000004E-3</v>
      </c>
      <c r="M207" s="35">
        <v>0</v>
      </c>
      <c r="N207" s="21"/>
      <c r="Q207" s="22" t="s">
        <v>187</v>
      </c>
      <c r="R207" s="2"/>
      <c r="S207" s="2"/>
      <c r="T207" s="2"/>
      <c r="U207" s="34">
        <f t="shared" si="3"/>
        <v>0.64880000000000004</v>
      </c>
    </row>
    <row r="208" spans="1:21" x14ac:dyDescent="0.2">
      <c r="A208" s="18" t="s">
        <v>632</v>
      </c>
      <c r="B208" s="19" t="s">
        <v>633</v>
      </c>
      <c r="C208" s="19" t="s">
        <v>634</v>
      </c>
      <c r="D208" s="20">
        <v>1.2639039117499999</v>
      </c>
      <c r="E208" s="20">
        <v>4.6404509865000003</v>
      </c>
      <c r="F208" s="1">
        <v>0.85291961187582654</v>
      </c>
      <c r="G208" s="42"/>
      <c r="H208" s="49" t="s">
        <v>187</v>
      </c>
      <c r="J208" s="44"/>
      <c r="K208" s="35">
        <v>2.9999999999999997E-4</v>
      </c>
      <c r="L208" s="35">
        <v>0.7</v>
      </c>
      <c r="M208" s="35">
        <v>8.6E-3</v>
      </c>
      <c r="N208" s="21"/>
      <c r="O208" s="2" t="s">
        <v>187</v>
      </c>
      <c r="Q208" s="22"/>
      <c r="R208" s="2"/>
      <c r="S208" s="2"/>
      <c r="T208" s="2"/>
      <c r="U208" s="34">
        <f t="shared" si="3"/>
        <v>0.7</v>
      </c>
    </row>
    <row r="209" spans="1:21" x14ac:dyDescent="0.2">
      <c r="A209" s="18" t="s">
        <v>635</v>
      </c>
      <c r="B209" s="19" t="s">
        <v>636</v>
      </c>
      <c r="C209" s="19" t="s">
        <v>637</v>
      </c>
      <c r="D209" s="20">
        <v>1.1839583979999999</v>
      </c>
      <c r="E209" s="20">
        <v>15.828839177500001</v>
      </c>
      <c r="F209" s="1">
        <v>0.4194686615789282</v>
      </c>
      <c r="G209" s="42"/>
      <c r="H209" s="43" t="s">
        <v>187</v>
      </c>
      <c r="J209" s="44"/>
      <c r="K209" s="35">
        <v>1.6000000000000001E-3</v>
      </c>
      <c r="L209" s="35">
        <v>0.97219999999999995</v>
      </c>
      <c r="M209" s="35">
        <v>1E-4</v>
      </c>
      <c r="N209" s="21"/>
      <c r="O209" s="2" t="s">
        <v>187</v>
      </c>
      <c r="Q209" s="22"/>
      <c r="R209" s="2"/>
      <c r="S209" s="2"/>
      <c r="T209" s="2"/>
      <c r="U209" s="34">
        <f t="shared" si="3"/>
        <v>0.97219999999999995</v>
      </c>
    </row>
    <row r="210" spans="1:21" x14ac:dyDescent="0.2">
      <c r="A210" s="18" t="s">
        <v>638</v>
      </c>
      <c r="B210" s="19" t="s">
        <v>639</v>
      </c>
      <c r="C210" s="19" t="s">
        <v>640</v>
      </c>
      <c r="D210" s="20">
        <v>8.1565076912500007</v>
      </c>
      <c r="E210" s="20">
        <v>17.785127020000001</v>
      </c>
      <c r="F210" s="1">
        <v>0.17036881024108216</v>
      </c>
      <c r="G210" s="42" t="s">
        <v>187</v>
      </c>
      <c r="J210" s="44"/>
      <c r="K210" s="35">
        <v>0.97799999999999998</v>
      </c>
      <c r="L210" s="35">
        <v>7.4000000000000003E-3</v>
      </c>
      <c r="M210" s="35">
        <v>0</v>
      </c>
      <c r="N210" s="21"/>
      <c r="Q210" s="22" t="s">
        <v>187</v>
      </c>
      <c r="R210" s="2"/>
      <c r="S210" s="2"/>
      <c r="T210" s="2"/>
      <c r="U210" s="34">
        <f t="shared" si="3"/>
        <v>0.97799999999999998</v>
      </c>
    </row>
    <row r="211" spans="1:21" x14ac:dyDescent="0.2">
      <c r="A211" s="18" t="s">
        <v>641</v>
      </c>
      <c r="B211" s="19" t="s">
        <v>642</v>
      </c>
      <c r="C211" s="19" t="s">
        <v>643</v>
      </c>
      <c r="D211" s="20">
        <v>0.83543955424999994</v>
      </c>
      <c r="E211" s="20">
        <v>0.15827408975000001</v>
      </c>
      <c r="F211" s="1">
        <v>0.2307077638680983</v>
      </c>
      <c r="G211" s="42"/>
      <c r="I211" s="43" t="s">
        <v>187</v>
      </c>
      <c r="J211" s="44"/>
      <c r="K211" s="35">
        <v>0</v>
      </c>
      <c r="L211" s="35">
        <v>0</v>
      </c>
      <c r="M211" s="35">
        <v>0.68879999999999997</v>
      </c>
      <c r="N211" s="21"/>
      <c r="O211" s="2" t="s">
        <v>187</v>
      </c>
      <c r="Q211" s="22"/>
      <c r="R211" s="2"/>
      <c r="S211" s="2"/>
      <c r="T211" s="2"/>
      <c r="U211" s="34">
        <f t="shared" si="3"/>
        <v>0.68879999999999997</v>
      </c>
    </row>
    <row r="212" spans="1:21" x14ac:dyDescent="0.2">
      <c r="A212" s="18" t="s">
        <v>644</v>
      </c>
      <c r="B212" s="19" t="s">
        <v>645</v>
      </c>
      <c r="C212" s="19" t="s">
        <v>646</v>
      </c>
      <c r="D212" s="20">
        <v>12.58382970075</v>
      </c>
      <c r="E212" s="20">
        <v>11.270135847500001</v>
      </c>
      <c r="F212" s="1">
        <v>1.6441279789273457</v>
      </c>
      <c r="G212" s="42" t="s">
        <v>187</v>
      </c>
      <c r="J212" s="44"/>
      <c r="K212" s="35">
        <v>0.97030000000000005</v>
      </c>
      <c r="L212" s="35">
        <v>2.0000000000000001E-4</v>
      </c>
      <c r="M212" s="35">
        <v>0</v>
      </c>
      <c r="N212" s="21"/>
      <c r="Q212" s="22" t="s">
        <v>187</v>
      </c>
      <c r="R212" s="2"/>
      <c r="S212" s="2"/>
      <c r="T212" s="2"/>
      <c r="U212" s="34">
        <f t="shared" si="3"/>
        <v>0.97030000000000005</v>
      </c>
    </row>
    <row r="213" spans="1:21" x14ac:dyDescent="0.2">
      <c r="A213" s="18" t="s">
        <v>647</v>
      </c>
      <c r="B213" s="19" t="s">
        <v>648</v>
      </c>
      <c r="C213" s="19" t="s">
        <v>649</v>
      </c>
      <c r="D213" s="20">
        <v>1.6093185372500001</v>
      </c>
      <c r="E213" s="20">
        <v>6.9714999999999998</v>
      </c>
      <c r="F213" s="1">
        <v>166.79943528143519</v>
      </c>
      <c r="G213" s="42"/>
      <c r="H213" s="43" t="s">
        <v>187</v>
      </c>
      <c r="J213" s="44"/>
      <c r="K213" s="35">
        <v>6.3E-3</v>
      </c>
      <c r="L213" s="35">
        <v>0.86460000000000004</v>
      </c>
      <c r="M213" s="35">
        <v>2.9999999999999997E-4</v>
      </c>
      <c r="N213" s="21"/>
      <c r="O213" s="2" t="s">
        <v>187</v>
      </c>
      <c r="Q213" s="22"/>
      <c r="R213" s="2"/>
      <c r="S213" s="2"/>
      <c r="T213" s="2"/>
      <c r="U213" s="34">
        <f t="shared" si="3"/>
        <v>0.86460000000000004</v>
      </c>
    </row>
    <row r="214" spans="1:21" x14ac:dyDescent="0.2">
      <c r="A214" s="18" t="s">
        <v>650</v>
      </c>
      <c r="B214" s="19" t="s">
        <v>651</v>
      </c>
      <c r="C214" s="19" t="s">
        <v>652</v>
      </c>
      <c r="D214" s="20">
        <v>0.48835909166666669</v>
      </c>
      <c r="E214" s="20">
        <v>10.121709865250001</v>
      </c>
      <c r="F214" s="1">
        <v>0.81145489360481149</v>
      </c>
      <c r="G214" s="42"/>
      <c r="H214" s="43" t="s">
        <v>187</v>
      </c>
      <c r="J214" s="44"/>
      <c r="K214" s="35">
        <v>0</v>
      </c>
      <c r="L214" s="35">
        <v>0.96279999999999999</v>
      </c>
      <c r="M214" s="35">
        <v>4.4999999999999997E-3</v>
      </c>
      <c r="N214" s="21"/>
      <c r="O214" s="2" t="s">
        <v>187</v>
      </c>
      <c r="Q214" s="22"/>
      <c r="R214" s="2"/>
      <c r="S214" s="2"/>
      <c r="T214" s="2"/>
      <c r="U214" s="34">
        <f t="shared" si="3"/>
        <v>0.96279999999999999</v>
      </c>
    </row>
    <row r="215" spans="1:21" x14ac:dyDescent="0.2">
      <c r="A215" s="18" t="s">
        <v>653</v>
      </c>
      <c r="B215" s="19" t="s">
        <v>654</v>
      </c>
      <c r="C215" s="19" t="s">
        <v>655</v>
      </c>
      <c r="D215" s="20">
        <v>7.0631206022499997</v>
      </c>
      <c r="E215" s="20">
        <v>12.560020667750001</v>
      </c>
      <c r="F215" s="1">
        <v>0.20226434092543172</v>
      </c>
      <c r="G215" s="42" t="s">
        <v>187</v>
      </c>
      <c r="J215" s="44"/>
      <c r="K215" s="35">
        <v>0.96909999999999996</v>
      </c>
      <c r="L215" s="35">
        <v>7.1000000000000004E-3</v>
      </c>
      <c r="M215" s="35">
        <v>0</v>
      </c>
      <c r="N215" s="21"/>
      <c r="Q215" s="22" t="s">
        <v>187</v>
      </c>
      <c r="R215" s="2"/>
      <c r="S215" s="2"/>
      <c r="T215" s="2"/>
      <c r="U215" s="34">
        <f t="shared" si="3"/>
        <v>0.96909999999999996</v>
      </c>
    </row>
    <row r="216" spans="1:21" x14ac:dyDescent="0.2">
      <c r="A216" s="18" t="s">
        <v>656</v>
      </c>
      <c r="B216" s="19" t="s">
        <v>657</v>
      </c>
      <c r="C216" s="19" t="s">
        <v>658</v>
      </c>
      <c r="D216" s="20">
        <v>0.63650692699999989</v>
      </c>
      <c r="E216" s="20">
        <v>9.5527454556666669</v>
      </c>
      <c r="F216" s="1">
        <v>0.43316559746659933</v>
      </c>
      <c r="G216" s="42"/>
      <c r="H216" s="43" t="s">
        <v>187</v>
      </c>
      <c r="J216" s="44"/>
      <c r="K216" s="35">
        <v>0</v>
      </c>
      <c r="L216" s="35">
        <v>0.96889999999999998</v>
      </c>
      <c r="M216" s="35">
        <v>3.0000000000000001E-3</v>
      </c>
      <c r="N216" s="21" t="s">
        <v>187</v>
      </c>
      <c r="Q216" s="22"/>
      <c r="R216" s="2"/>
      <c r="S216" s="2"/>
      <c r="T216" s="2"/>
      <c r="U216" s="34">
        <f t="shared" si="3"/>
        <v>0.96889999999999998</v>
      </c>
    </row>
    <row r="217" spans="1:21" x14ac:dyDescent="0.2">
      <c r="A217" s="18" t="s">
        <v>659</v>
      </c>
      <c r="B217" s="19" t="s">
        <v>660</v>
      </c>
      <c r="C217" s="19" t="s">
        <v>661</v>
      </c>
      <c r="D217" s="20">
        <v>3.5609923435000002</v>
      </c>
      <c r="E217" s="20">
        <v>6.1112244965000002</v>
      </c>
      <c r="F217" s="1">
        <v>16.969837742293016</v>
      </c>
      <c r="G217" s="42"/>
      <c r="J217" s="44" t="s">
        <v>187</v>
      </c>
      <c r="K217" s="35">
        <v>0.28739999999999999</v>
      </c>
      <c r="L217" s="35">
        <v>0.13719999999999999</v>
      </c>
      <c r="M217" s="35">
        <v>0</v>
      </c>
      <c r="N217" s="21"/>
      <c r="Q217" s="22"/>
      <c r="R217" s="2"/>
      <c r="S217" s="2"/>
      <c r="T217" s="2"/>
      <c r="U217" s="34">
        <f t="shared" si="3"/>
        <v>0.28739999999999999</v>
      </c>
    </row>
    <row r="218" spans="1:21" x14ac:dyDescent="0.2">
      <c r="A218" s="18" t="s">
        <v>662</v>
      </c>
      <c r="B218" s="19" t="s">
        <v>663</v>
      </c>
      <c r="C218" s="19" t="s">
        <v>664</v>
      </c>
      <c r="D218" s="20">
        <v>1.0068542835000001</v>
      </c>
      <c r="E218" s="20">
        <v>4.4308709640000004</v>
      </c>
      <c r="F218" s="1">
        <v>4.5080928454485511E-2</v>
      </c>
      <c r="G218" s="42"/>
      <c r="H218" s="49" t="s">
        <v>187</v>
      </c>
      <c r="J218" s="44"/>
      <c r="K218" s="35">
        <v>0</v>
      </c>
      <c r="L218" s="35">
        <v>0.75270000000000004</v>
      </c>
      <c r="M218" s="35">
        <v>2.5399999999999999E-2</v>
      </c>
      <c r="N218" s="21"/>
      <c r="O218" s="2" t="s">
        <v>187</v>
      </c>
      <c r="Q218" s="22"/>
      <c r="R218" s="2"/>
      <c r="S218" s="2"/>
      <c r="T218" s="2"/>
      <c r="U218" s="34">
        <f t="shared" si="3"/>
        <v>0.75270000000000004</v>
      </c>
    </row>
    <row r="219" spans="1:21" x14ac:dyDescent="0.2">
      <c r="A219" s="18" t="s">
        <v>665</v>
      </c>
      <c r="B219" s="19" t="s">
        <v>666</v>
      </c>
      <c r="C219" s="19" t="s">
        <v>667</v>
      </c>
      <c r="D219" s="20">
        <v>1.5534935765</v>
      </c>
      <c r="E219" s="20">
        <v>4.8302087037499994</v>
      </c>
      <c r="F219" s="1">
        <v>91.610439536921888</v>
      </c>
      <c r="G219" s="42"/>
      <c r="J219" s="44" t="s">
        <v>187</v>
      </c>
      <c r="K219" s="35">
        <v>1.5E-3</v>
      </c>
      <c r="L219" s="35">
        <v>0.61539999999999995</v>
      </c>
      <c r="M219" s="35">
        <v>2.5999999999999999E-3</v>
      </c>
      <c r="N219" s="21"/>
      <c r="Q219" s="22"/>
      <c r="R219" s="2"/>
      <c r="S219" s="2"/>
      <c r="T219" s="2"/>
      <c r="U219" s="34">
        <f t="shared" si="3"/>
        <v>0.61539999999999995</v>
      </c>
    </row>
    <row r="220" spans="1:21" x14ac:dyDescent="0.2">
      <c r="A220" s="18" t="s">
        <v>668</v>
      </c>
      <c r="B220" s="19" t="s">
        <v>669</v>
      </c>
      <c r="C220" s="19" t="s">
        <v>670</v>
      </c>
      <c r="D220" s="20">
        <v>0.85254935024999989</v>
      </c>
      <c r="E220" s="20">
        <v>3.8514211192500003</v>
      </c>
      <c r="F220" s="1">
        <v>79.753899294092008</v>
      </c>
      <c r="G220" s="42"/>
      <c r="J220" s="44" t="s">
        <v>187</v>
      </c>
      <c r="K220" s="35">
        <v>0</v>
      </c>
      <c r="L220" s="35">
        <v>0.66290000000000004</v>
      </c>
      <c r="M220" s="35">
        <v>8.1500000000000003E-2</v>
      </c>
      <c r="N220" s="21"/>
      <c r="Q220" s="22"/>
      <c r="R220" s="2"/>
      <c r="S220" s="2"/>
      <c r="T220" s="2"/>
      <c r="U220" s="34">
        <f t="shared" si="3"/>
        <v>0.66290000000000004</v>
      </c>
    </row>
    <row r="221" spans="1:21" x14ac:dyDescent="0.2">
      <c r="A221" s="18" t="s">
        <v>671</v>
      </c>
      <c r="B221" s="19" t="s">
        <v>672</v>
      </c>
      <c r="C221" s="19" t="s">
        <v>673</v>
      </c>
      <c r="D221" s="20">
        <v>0.42415496050000001</v>
      </c>
      <c r="E221" s="20">
        <v>5.0981417415000001</v>
      </c>
      <c r="F221" s="1">
        <v>2.0436687566022949</v>
      </c>
      <c r="G221" s="42"/>
      <c r="H221" s="43" t="s">
        <v>187</v>
      </c>
      <c r="J221" s="44"/>
      <c r="K221" s="35">
        <v>0</v>
      </c>
      <c r="L221" s="35">
        <v>0.88</v>
      </c>
      <c r="M221" s="35">
        <v>5.6099999999999997E-2</v>
      </c>
      <c r="N221" s="21"/>
      <c r="O221" s="2" t="s">
        <v>187</v>
      </c>
      <c r="Q221" s="22"/>
      <c r="R221" s="2"/>
      <c r="S221" s="2"/>
      <c r="T221" s="2"/>
      <c r="U221" s="34">
        <f t="shared" si="3"/>
        <v>0.88</v>
      </c>
    </row>
    <row r="222" spans="1:21" x14ac:dyDescent="0.2">
      <c r="A222" s="18" t="s">
        <v>674</v>
      </c>
      <c r="B222" s="19" t="s">
        <v>675</v>
      </c>
      <c r="C222" s="19" t="s">
        <v>676</v>
      </c>
      <c r="D222" s="20">
        <v>0.56204682433333331</v>
      </c>
      <c r="E222" s="20">
        <v>3.1730999999999998</v>
      </c>
      <c r="F222" s="1">
        <v>1.2638773151035647</v>
      </c>
      <c r="G222" s="42"/>
      <c r="J222" s="44" t="s">
        <v>187</v>
      </c>
      <c r="K222" s="35">
        <v>0</v>
      </c>
      <c r="L222" s="35">
        <v>0.45779999999999998</v>
      </c>
      <c r="M222" s="35">
        <v>0.3392</v>
      </c>
      <c r="N222" s="21" t="s">
        <v>187</v>
      </c>
      <c r="Q222" s="22"/>
      <c r="R222" s="2"/>
      <c r="S222" s="2"/>
      <c r="T222" s="2"/>
      <c r="U222" s="34">
        <f t="shared" si="3"/>
        <v>0.45779999999999998</v>
      </c>
    </row>
    <row r="223" spans="1:21" x14ac:dyDescent="0.2">
      <c r="A223" s="18" t="s">
        <v>677</v>
      </c>
      <c r="B223" s="19" t="s">
        <v>678</v>
      </c>
      <c r="C223" s="19" t="s">
        <v>679</v>
      </c>
      <c r="D223" s="20">
        <v>0.474055</v>
      </c>
      <c r="E223" s="20">
        <v>0.70313999999999999</v>
      </c>
      <c r="F223" s="1">
        <v>0.98358389355266551</v>
      </c>
      <c r="G223" s="42"/>
      <c r="I223" s="43" t="s">
        <v>187</v>
      </c>
      <c r="J223" s="44"/>
      <c r="K223" s="35">
        <v>0</v>
      </c>
      <c r="L223" s="35">
        <v>0</v>
      </c>
      <c r="M223" s="35">
        <v>0.94079999999999997</v>
      </c>
      <c r="N223" s="21" t="s">
        <v>187</v>
      </c>
      <c r="Q223" s="22"/>
      <c r="R223" s="2"/>
      <c r="S223" s="2"/>
      <c r="T223" s="2"/>
      <c r="U223" s="34">
        <f t="shared" si="3"/>
        <v>0.94079999999999997</v>
      </c>
    </row>
    <row r="224" spans="1:21" x14ac:dyDescent="0.2">
      <c r="A224" s="18" t="s">
        <v>680</v>
      </c>
      <c r="B224" s="19" t="s">
        <v>681</v>
      </c>
      <c r="C224" s="19" t="s">
        <v>682</v>
      </c>
      <c r="D224" s="20">
        <v>0.42551378699999998</v>
      </c>
      <c r="E224" s="20">
        <v>12.895583102250001</v>
      </c>
      <c r="F224" s="1">
        <v>1.4393958494718868</v>
      </c>
      <c r="G224" s="42"/>
      <c r="H224" s="43" t="s">
        <v>187</v>
      </c>
      <c r="J224" s="44"/>
      <c r="K224" s="35">
        <v>0</v>
      </c>
      <c r="L224" s="35">
        <v>0.94950000000000001</v>
      </c>
      <c r="M224" s="35">
        <v>3.3999999999999998E-3</v>
      </c>
      <c r="N224" s="21" t="s">
        <v>187</v>
      </c>
      <c r="Q224" s="22"/>
      <c r="R224" s="2"/>
      <c r="S224" s="2"/>
      <c r="T224" s="2"/>
      <c r="U224" s="34">
        <f t="shared" si="3"/>
        <v>0.94950000000000001</v>
      </c>
    </row>
    <row r="225" spans="1:21" x14ac:dyDescent="0.2">
      <c r="A225" s="18" t="s">
        <v>683</v>
      </c>
      <c r="B225" s="19" t="s">
        <v>684</v>
      </c>
      <c r="C225" s="19" t="s">
        <v>685</v>
      </c>
      <c r="D225" s="20">
        <v>0.29017580199999998</v>
      </c>
      <c r="E225" s="20">
        <v>0.35866224599999996</v>
      </c>
      <c r="F225" s="1">
        <v>0.88733755333876596</v>
      </c>
      <c r="G225" s="42"/>
      <c r="I225" s="43" t="s">
        <v>187</v>
      </c>
      <c r="J225" s="44"/>
      <c r="K225" s="35">
        <v>0</v>
      </c>
      <c r="L225" s="35">
        <v>0</v>
      </c>
      <c r="M225" s="35">
        <v>0.96840000000000004</v>
      </c>
      <c r="N225" s="21" t="s">
        <v>187</v>
      </c>
      <c r="Q225" s="22"/>
      <c r="R225" s="2"/>
      <c r="S225" s="2"/>
      <c r="T225" s="2"/>
      <c r="U225" s="34">
        <f t="shared" si="3"/>
        <v>0.96840000000000004</v>
      </c>
    </row>
    <row r="226" spans="1:21" x14ac:dyDescent="0.2">
      <c r="A226" s="18" t="s">
        <v>686</v>
      </c>
      <c r="B226" s="19" t="s">
        <v>687</v>
      </c>
      <c r="C226" s="19" t="s">
        <v>688</v>
      </c>
      <c r="D226" s="20">
        <v>0.46290999999999999</v>
      </c>
      <c r="E226" s="20" t="s">
        <v>689</v>
      </c>
      <c r="F226" s="1">
        <v>3.1556649918126225</v>
      </c>
      <c r="G226" s="42"/>
      <c r="I226" s="43" t="s">
        <v>187</v>
      </c>
      <c r="J226" s="44"/>
      <c r="K226" s="35" t="e">
        <v>#N/A</v>
      </c>
      <c r="L226" s="35" t="e">
        <v>#N/A</v>
      </c>
      <c r="M226" s="35" t="e">
        <v>#N/A</v>
      </c>
      <c r="N226" s="21"/>
      <c r="O226" s="2" t="s">
        <v>187</v>
      </c>
      <c r="Q226" s="22"/>
      <c r="R226" s="2"/>
      <c r="S226" s="2"/>
      <c r="T226" s="2"/>
      <c r="U226" s="34" t="e">
        <f t="shared" si="3"/>
        <v>#N/A</v>
      </c>
    </row>
    <row r="227" spans="1:21" x14ac:dyDescent="0.2">
      <c r="A227" s="18" t="s">
        <v>690</v>
      </c>
      <c r="B227" s="19" t="s">
        <v>691</v>
      </c>
      <c r="C227" s="19" t="s">
        <v>692</v>
      </c>
      <c r="D227" s="20">
        <v>1.3948</v>
      </c>
      <c r="E227" s="20">
        <v>0.24132999999999999</v>
      </c>
      <c r="F227" s="1">
        <v>1.8032371381780488</v>
      </c>
      <c r="G227" s="42"/>
      <c r="J227" s="44" t="s">
        <v>187</v>
      </c>
      <c r="K227" s="35">
        <v>0</v>
      </c>
      <c r="L227" s="35">
        <v>0</v>
      </c>
      <c r="M227" s="35">
        <v>9.1300000000000006E-2</v>
      </c>
      <c r="N227" s="21"/>
      <c r="Q227" s="22"/>
      <c r="R227" s="2"/>
      <c r="S227" s="2"/>
      <c r="T227" s="2"/>
      <c r="U227" s="34">
        <f t="shared" si="3"/>
        <v>9.1300000000000006E-2</v>
      </c>
    </row>
    <row r="228" spans="1:21" x14ac:dyDescent="0.2">
      <c r="A228" s="18" t="s">
        <v>693</v>
      </c>
      <c r="B228" s="19" t="s">
        <v>694</v>
      </c>
      <c r="C228" s="19" t="s">
        <v>695</v>
      </c>
      <c r="D228" s="20">
        <v>2.0017526865000002</v>
      </c>
      <c r="E228" s="20">
        <v>0.26457000000000003</v>
      </c>
      <c r="F228" s="1">
        <v>4.1527397496275036</v>
      </c>
      <c r="G228" s="42"/>
      <c r="J228" s="44" t="s">
        <v>187</v>
      </c>
      <c r="K228" s="35">
        <v>0</v>
      </c>
      <c r="L228" s="35">
        <v>0</v>
      </c>
      <c r="M228" s="35">
        <v>4.4999999999999997E-3</v>
      </c>
      <c r="N228" s="21"/>
      <c r="Q228" s="22"/>
      <c r="R228" s="2"/>
      <c r="S228" s="2"/>
      <c r="T228" s="2"/>
      <c r="U228" s="34">
        <f t="shared" si="3"/>
        <v>4.4999999999999997E-3</v>
      </c>
    </row>
    <row r="229" spans="1:21" x14ac:dyDescent="0.2">
      <c r="A229" s="18" t="s">
        <v>696</v>
      </c>
      <c r="B229" s="19" t="s">
        <v>697</v>
      </c>
      <c r="C229" s="19" t="s">
        <v>698</v>
      </c>
      <c r="D229" s="20">
        <v>8.8183378082499999</v>
      </c>
      <c r="E229" s="20">
        <v>11.106391681249999</v>
      </c>
      <c r="F229" s="1">
        <v>1.1954856854989899</v>
      </c>
      <c r="G229" s="42" t="s">
        <v>187</v>
      </c>
      <c r="J229" s="44"/>
      <c r="K229" s="35">
        <v>0.97</v>
      </c>
      <c r="L229" s="35">
        <v>1.6000000000000001E-3</v>
      </c>
      <c r="M229" s="35">
        <v>0</v>
      </c>
      <c r="N229" s="21"/>
      <c r="P229" s="2" t="s">
        <v>187</v>
      </c>
      <c r="Q229" s="22"/>
      <c r="R229" s="2"/>
      <c r="S229" s="2"/>
      <c r="T229" s="2"/>
      <c r="U229" s="34">
        <f t="shared" si="3"/>
        <v>0.97</v>
      </c>
    </row>
    <row r="230" spans="1:21" x14ac:dyDescent="0.2">
      <c r="A230" s="18" t="s">
        <v>699</v>
      </c>
      <c r="B230" s="19" t="s">
        <v>700</v>
      </c>
      <c r="C230" t="s">
        <v>701</v>
      </c>
      <c r="D230" s="20">
        <v>0.42685397399999997</v>
      </c>
      <c r="E230" s="20">
        <v>0.20809381233333335</v>
      </c>
      <c r="F230" s="1">
        <v>1.2772929728769085</v>
      </c>
      <c r="G230" s="42"/>
      <c r="I230" s="43" t="s">
        <v>187</v>
      </c>
      <c r="J230" s="44"/>
      <c r="K230" s="35">
        <v>0</v>
      </c>
      <c r="L230" s="35">
        <v>0</v>
      </c>
      <c r="M230" s="35">
        <v>0.9627</v>
      </c>
      <c r="N230" s="21" t="s">
        <v>187</v>
      </c>
      <c r="Q230" s="22"/>
      <c r="R230" s="2"/>
      <c r="S230" s="2"/>
      <c r="T230" s="2"/>
      <c r="U230" s="34">
        <f t="shared" si="3"/>
        <v>0.9627</v>
      </c>
    </row>
    <row r="231" spans="1:21" x14ac:dyDescent="0.2">
      <c r="A231" s="18" t="s">
        <v>702</v>
      </c>
      <c r="B231" s="19" t="s">
        <v>703</v>
      </c>
      <c r="C231" s="19" t="s">
        <v>704</v>
      </c>
      <c r="D231" s="20">
        <v>0.70912363200000006</v>
      </c>
      <c r="E231" s="20" t="s">
        <v>689</v>
      </c>
      <c r="F231" s="1">
        <v>0.65141015680389869</v>
      </c>
      <c r="G231" s="42"/>
      <c r="I231" s="43" t="s">
        <v>187</v>
      </c>
      <c r="J231" s="44"/>
      <c r="K231" s="35" t="e">
        <v>#N/A</v>
      </c>
      <c r="L231" s="35" t="e">
        <v>#N/A</v>
      </c>
      <c r="M231" s="35" t="e">
        <v>#N/A</v>
      </c>
      <c r="N231" s="21"/>
      <c r="O231" s="2" t="s">
        <v>187</v>
      </c>
      <c r="Q231" s="22"/>
      <c r="R231" s="2"/>
      <c r="S231" s="2"/>
      <c r="T231" s="2"/>
      <c r="U231" s="34" t="e">
        <f t="shared" si="3"/>
        <v>#N/A</v>
      </c>
    </row>
    <row r="232" spans="1:21" x14ac:dyDescent="0.2">
      <c r="A232" s="18" t="s">
        <v>705</v>
      </c>
      <c r="B232" s="19" t="s">
        <v>706</v>
      </c>
      <c r="C232" s="19" t="s">
        <v>707</v>
      </c>
      <c r="D232" s="20">
        <v>24.354063885000002</v>
      </c>
      <c r="E232" s="20">
        <v>23.599522972499997</v>
      </c>
      <c r="F232" s="1">
        <v>0.73449818700865566</v>
      </c>
      <c r="G232" s="42" t="s">
        <v>187</v>
      </c>
      <c r="J232" s="44"/>
      <c r="K232" s="35">
        <v>0.9597</v>
      </c>
      <c r="L232" s="35">
        <v>1E-4</v>
      </c>
      <c r="M232" s="35">
        <v>0</v>
      </c>
      <c r="N232" s="21"/>
      <c r="Q232" s="22" t="s">
        <v>187</v>
      </c>
      <c r="R232" s="2"/>
      <c r="S232" s="2"/>
      <c r="T232" s="2"/>
      <c r="U232" s="34">
        <f t="shared" si="3"/>
        <v>0.9597</v>
      </c>
    </row>
    <row r="233" spans="1:21" x14ac:dyDescent="0.2">
      <c r="A233" s="18" t="s">
        <v>708</v>
      </c>
      <c r="B233" s="19" t="s">
        <v>709</v>
      </c>
      <c r="C233" s="19" t="s">
        <v>710</v>
      </c>
      <c r="D233" s="20">
        <v>0.7878421413333333</v>
      </c>
      <c r="E233" s="20">
        <v>0.75679037100000002</v>
      </c>
      <c r="F233" s="1">
        <v>0</v>
      </c>
      <c r="G233" s="42"/>
      <c r="I233" s="43" t="s">
        <v>187</v>
      </c>
      <c r="J233" s="44"/>
      <c r="K233" s="35">
        <v>0</v>
      </c>
      <c r="L233" s="35">
        <v>0</v>
      </c>
      <c r="M233" s="35">
        <v>0.76180000000000003</v>
      </c>
      <c r="N233" s="21"/>
      <c r="O233" s="2" t="s">
        <v>187</v>
      </c>
      <c r="Q233" s="22"/>
      <c r="R233" s="2"/>
      <c r="S233" s="2"/>
      <c r="T233" s="2"/>
      <c r="U233" s="34">
        <f t="shared" si="3"/>
        <v>0.76180000000000003</v>
      </c>
    </row>
    <row r="234" spans="1:21" x14ac:dyDescent="0.2">
      <c r="A234" s="18" t="s">
        <v>711</v>
      </c>
      <c r="B234" s="19" t="s">
        <v>712</v>
      </c>
      <c r="C234" s="19" t="s">
        <v>713</v>
      </c>
      <c r="D234" s="20">
        <v>2.6585999999999999</v>
      </c>
      <c r="E234" s="20">
        <v>13.999186205000001</v>
      </c>
      <c r="F234" s="1">
        <v>0</v>
      </c>
      <c r="G234" s="42"/>
      <c r="H234" s="43" t="s">
        <v>187</v>
      </c>
      <c r="J234" s="44"/>
      <c r="K234" s="35">
        <v>0.23469999999999999</v>
      </c>
      <c r="L234" s="35">
        <v>0.70820000000000005</v>
      </c>
      <c r="M234" s="35">
        <v>0</v>
      </c>
      <c r="N234" s="21"/>
      <c r="O234" s="2" t="s">
        <v>187</v>
      </c>
      <c r="Q234" s="22"/>
      <c r="R234" s="2"/>
      <c r="S234" s="2"/>
      <c r="T234" s="2"/>
      <c r="U234" s="34">
        <f t="shared" si="3"/>
        <v>0.70820000000000005</v>
      </c>
    </row>
    <row r="235" spans="1:21" x14ac:dyDescent="0.2">
      <c r="A235" s="18" t="s">
        <v>714</v>
      </c>
      <c r="B235" s="19" t="s">
        <v>715</v>
      </c>
      <c r="C235" s="19" t="s">
        <v>716</v>
      </c>
      <c r="D235" s="20">
        <v>0.67709101766666668</v>
      </c>
      <c r="E235" s="20">
        <v>9.4055545474999995</v>
      </c>
      <c r="F235" s="1">
        <v>1.6434246668727872</v>
      </c>
      <c r="G235" s="42"/>
      <c r="H235" s="43" t="s">
        <v>187</v>
      </c>
      <c r="J235" s="44"/>
      <c r="K235" s="35">
        <v>0</v>
      </c>
      <c r="L235" s="35">
        <v>0.96919999999999995</v>
      </c>
      <c r="M235" s="35">
        <v>2.7000000000000001E-3</v>
      </c>
      <c r="N235" s="21" t="s">
        <v>187</v>
      </c>
      <c r="Q235" s="22"/>
      <c r="R235" s="2"/>
      <c r="S235" s="2"/>
      <c r="T235" s="2"/>
      <c r="U235" s="34">
        <f t="shared" si="3"/>
        <v>0.96919999999999995</v>
      </c>
    </row>
    <row r="236" spans="1:21" x14ac:dyDescent="0.2">
      <c r="A236" s="18" t="s">
        <v>717</v>
      </c>
      <c r="B236" s="19" t="s">
        <v>718</v>
      </c>
      <c r="C236" s="19" t="s">
        <v>719</v>
      </c>
      <c r="D236" s="20">
        <v>1.4205000000000001</v>
      </c>
      <c r="E236" s="20">
        <v>5.8069858824999994</v>
      </c>
      <c r="F236" s="1">
        <v>0</v>
      </c>
      <c r="G236" s="42"/>
      <c r="H236" s="43" t="s">
        <v>187</v>
      </c>
      <c r="J236" s="44"/>
      <c r="K236" s="35">
        <v>1.6000000000000001E-3</v>
      </c>
      <c r="L236" s="35">
        <v>0.82020000000000004</v>
      </c>
      <c r="M236" s="35">
        <v>1.6000000000000001E-3</v>
      </c>
      <c r="N236" s="21"/>
      <c r="O236" s="2" t="s">
        <v>187</v>
      </c>
      <c r="Q236" s="22"/>
      <c r="R236" s="2"/>
      <c r="S236" s="2"/>
      <c r="T236" s="2"/>
      <c r="U236" s="34">
        <f t="shared" si="3"/>
        <v>0.82020000000000004</v>
      </c>
    </row>
    <row r="237" spans="1:21" x14ac:dyDescent="0.2">
      <c r="A237" s="18" t="s">
        <v>720</v>
      </c>
      <c r="B237" s="19" t="s">
        <v>721</v>
      </c>
      <c r="C237" s="19" t="s">
        <v>722</v>
      </c>
      <c r="D237" s="20">
        <v>0.49201600000000001</v>
      </c>
      <c r="E237" s="20">
        <v>3.4087880616666664</v>
      </c>
      <c r="F237" s="1">
        <v>4.9393017263135039</v>
      </c>
      <c r="G237" s="42"/>
      <c r="H237" s="49" t="s">
        <v>187</v>
      </c>
      <c r="J237" s="44"/>
      <c r="K237" s="35">
        <v>0</v>
      </c>
      <c r="L237" s="35">
        <v>0.56259999999999999</v>
      </c>
      <c r="M237" s="35">
        <v>0.2828</v>
      </c>
      <c r="N237" s="21"/>
      <c r="O237" s="2" t="s">
        <v>187</v>
      </c>
      <c r="Q237" s="22"/>
      <c r="R237" s="2"/>
      <c r="S237" s="2"/>
      <c r="T237" s="2"/>
      <c r="U237" s="34">
        <f t="shared" si="3"/>
        <v>0.56259999999999999</v>
      </c>
    </row>
    <row r="238" spans="1:21" x14ac:dyDescent="0.2">
      <c r="A238" s="18" t="s">
        <v>723</v>
      </c>
      <c r="B238" s="19" t="s">
        <v>724</v>
      </c>
      <c r="C238" s="19" t="s">
        <v>725</v>
      </c>
      <c r="D238" s="20">
        <v>2.4205746367499996</v>
      </c>
      <c r="E238" s="20">
        <v>3.6782297590000002</v>
      </c>
      <c r="F238" s="1">
        <v>0.85416496018963184</v>
      </c>
      <c r="G238" s="42"/>
      <c r="J238" s="44" t="s">
        <v>187</v>
      </c>
      <c r="K238" s="35">
        <v>2.3E-3</v>
      </c>
      <c r="L238" s="35">
        <v>5.8700000000000002E-2</v>
      </c>
      <c r="M238" s="35">
        <v>2.0000000000000001E-4</v>
      </c>
      <c r="N238" s="21"/>
      <c r="Q238" s="22"/>
      <c r="R238" s="2"/>
      <c r="S238" s="2"/>
      <c r="T238" s="2"/>
      <c r="U238" s="34">
        <f t="shared" si="3"/>
        <v>5.8700000000000002E-2</v>
      </c>
    </row>
    <row r="239" spans="1:21" x14ac:dyDescent="0.2">
      <c r="A239" s="18" t="s">
        <v>726</v>
      </c>
      <c r="B239" s="19" t="s">
        <v>727</v>
      </c>
      <c r="C239" s="19" t="s">
        <v>728</v>
      </c>
      <c r="D239" s="20">
        <v>0.53727999999999998</v>
      </c>
      <c r="E239" s="20">
        <v>9.3376729150000006</v>
      </c>
      <c r="F239" s="1" t="s">
        <v>47</v>
      </c>
      <c r="G239" s="42"/>
      <c r="H239" s="43" t="s">
        <v>187</v>
      </c>
      <c r="J239" s="44"/>
      <c r="K239" s="35">
        <v>0</v>
      </c>
      <c r="L239" s="35">
        <v>0.96479999999999999</v>
      </c>
      <c r="M239" s="35">
        <v>4.7000000000000002E-3</v>
      </c>
      <c r="N239" s="21"/>
      <c r="O239" s="2" t="s">
        <v>187</v>
      </c>
      <c r="Q239" s="22"/>
      <c r="R239" s="2"/>
      <c r="S239" s="2"/>
      <c r="T239" s="2"/>
      <c r="U239" s="34">
        <f t="shared" si="3"/>
        <v>0.96479999999999999</v>
      </c>
    </row>
    <row r="240" spans="1:21" x14ac:dyDescent="0.2">
      <c r="A240" s="18" t="s">
        <v>729</v>
      </c>
      <c r="B240" s="19" t="s">
        <v>730</v>
      </c>
      <c r="C240" s="19" t="s">
        <v>731</v>
      </c>
      <c r="D240" s="20">
        <v>0.21964043825000001</v>
      </c>
      <c r="E240" s="20">
        <v>0.158615858</v>
      </c>
      <c r="F240" s="1">
        <v>0.39176790090799396</v>
      </c>
      <c r="G240" s="42"/>
      <c r="I240" s="43" t="s">
        <v>187</v>
      </c>
      <c r="J240" s="44"/>
      <c r="K240" s="35">
        <v>0</v>
      </c>
      <c r="L240" s="35">
        <v>0</v>
      </c>
      <c r="M240" s="35">
        <v>0.96020000000000005</v>
      </c>
      <c r="N240" s="21"/>
      <c r="O240" s="2" t="s">
        <v>187</v>
      </c>
      <c r="Q240" s="22"/>
      <c r="R240" s="2"/>
      <c r="S240" s="2"/>
      <c r="T240" s="2"/>
      <c r="U240" s="34">
        <f t="shared" si="3"/>
        <v>0.96020000000000005</v>
      </c>
    </row>
    <row r="241" spans="1:21" x14ac:dyDescent="0.2">
      <c r="A241" s="18" t="s">
        <v>732</v>
      </c>
      <c r="B241" s="19" t="s">
        <v>733</v>
      </c>
      <c r="C241" s="19" t="s">
        <v>734</v>
      </c>
      <c r="D241" s="20">
        <v>0.89311260800000003</v>
      </c>
      <c r="E241" s="20">
        <v>4.2744400396666666</v>
      </c>
      <c r="F241" s="1">
        <v>6.0184634052574112E-2</v>
      </c>
      <c r="G241" s="42"/>
      <c r="H241" s="49" t="s">
        <v>187</v>
      </c>
      <c r="J241" s="44"/>
      <c r="K241" s="35">
        <v>0</v>
      </c>
      <c r="L241" s="35">
        <v>0.75480000000000003</v>
      </c>
      <c r="M241" s="35">
        <v>4.3400000000000001E-2</v>
      </c>
      <c r="N241" s="21"/>
      <c r="O241" s="2" t="s">
        <v>187</v>
      </c>
      <c r="Q241" s="22"/>
      <c r="R241" s="2"/>
      <c r="S241" s="2"/>
      <c r="T241" s="2"/>
      <c r="U241" s="34">
        <f t="shared" si="3"/>
        <v>0.75480000000000003</v>
      </c>
    </row>
    <row r="242" spans="1:21" x14ac:dyDescent="0.2">
      <c r="A242" s="18" t="s">
        <v>735</v>
      </c>
      <c r="B242" s="19" t="s">
        <v>736</v>
      </c>
      <c r="C242" s="19" t="s">
        <v>737</v>
      </c>
      <c r="D242" s="20">
        <v>1.5420830932499998</v>
      </c>
      <c r="E242" s="20">
        <v>4.8416849405000004</v>
      </c>
      <c r="F242" s="1">
        <v>36.157187860197524</v>
      </c>
      <c r="G242" s="42"/>
      <c r="J242" s="44" t="s">
        <v>187</v>
      </c>
      <c r="K242" s="35">
        <v>1.4E-3</v>
      </c>
      <c r="L242" s="35">
        <v>0.62329999999999997</v>
      </c>
      <c r="M242" s="35">
        <v>2.7000000000000001E-3</v>
      </c>
      <c r="N242" s="21"/>
      <c r="Q242" s="22"/>
      <c r="R242" s="2"/>
      <c r="S242" s="2"/>
      <c r="T242" s="2"/>
      <c r="U242" s="34">
        <f t="shared" si="3"/>
        <v>0.62329999999999997</v>
      </c>
    </row>
    <row r="243" spans="1:21" x14ac:dyDescent="0.2">
      <c r="A243" s="18" t="s">
        <v>738</v>
      </c>
      <c r="B243" s="19" t="s">
        <v>739</v>
      </c>
      <c r="C243" s="19" t="s">
        <v>740</v>
      </c>
      <c r="D243" s="20">
        <v>0.70679625199999996</v>
      </c>
      <c r="E243" s="20">
        <v>0.62261834000000005</v>
      </c>
      <c r="F243" s="1">
        <v>0.42592202560298431</v>
      </c>
      <c r="G243" s="42"/>
      <c r="I243" s="43" t="s">
        <v>187</v>
      </c>
      <c r="J243" s="44"/>
      <c r="K243" s="35">
        <v>0</v>
      </c>
      <c r="L243" s="35">
        <v>0</v>
      </c>
      <c r="M243" s="35">
        <v>0.84719999999999995</v>
      </c>
      <c r="N243" s="21" t="s">
        <v>187</v>
      </c>
      <c r="Q243" s="22"/>
      <c r="R243" s="2"/>
      <c r="S243" s="2"/>
      <c r="T243" s="2"/>
      <c r="U243" s="34">
        <f t="shared" si="3"/>
        <v>0.84719999999999995</v>
      </c>
    </row>
    <row r="244" spans="1:21" x14ac:dyDescent="0.2">
      <c r="A244" s="18" t="s">
        <v>741</v>
      </c>
      <c r="B244" s="19" t="s">
        <v>742</v>
      </c>
      <c r="C244" s="19" t="s">
        <v>743</v>
      </c>
      <c r="D244" s="20">
        <v>0.11713</v>
      </c>
      <c r="E244" s="20" t="s">
        <v>689</v>
      </c>
      <c r="F244" s="1">
        <v>1.3320108630869385</v>
      </c>
      <c r="G244" s="42"/>
      <c r="I244" s="43" t="s">
        <v>187</v>
      </c>
      <c r="J244" s="44"/>
      <c r="K244" s="35" t="e">
        <v>#N/A</v>
      </c>
      <c r="L244" s="35" t="e">
        <v>#N/A</v>
      </c>
      <c r="M244" s="35" t="e">
        <v>#N/A</v>
      </c>
      <c r="N244" s="21"/>
      <c r="O244" s="2" t="s">
        <v>187</v>
      </c>
      <c r="Q244" s="22"/>
      <c r="R244" s="2"/>
      <c r="S244" s="2"/>
      <c r="T244" s="2"/>
      <c r="U244" s="34" t="e">
        <f t="shared" si="3"/>
        <v>#N/A</v>
      </c>
    </row>
    <row r="245" spans="1:21" x14ac:dyDescent="0.2">
      <c r="A245" s="18" t="s">
        <v>744</v>
      </c>
      <c r="B245" s="19" t="s">
        <v>745</v>
      </c>
      <c r="C245" s="19" t="s">
        <v>746</v>
      </c>
      <c r="D245" s="20">
        <v>0.37571800300000002</v>
      </c>
      <c r="E245" s="20">
        <v>0.13220000000000001</v>
      </c>
      <c r="F245" s="1">
        <v>0</v>
      </c>
      <c r="G245" s="42"/>
      <c r="I245" s="43" t="s">
        <v>187</v>
      </c>
      <c r="J245" s="44"/>
      <c r="K245" s="35">
        <v>0</v>
      </c>
      <c r="L245" s="35">
        <v>0</v>
      </c>
      <c r="M245" s="35">
        <v>0.96309999999999996</v>
      </c>
      <c r="N245" s="21"/>
      <c r="O245" s="2" t="s">
        <v>187</v>
      </c>
      <c r="Q245" s="22"/>
      <c r="R245" s="2"/>
      <c r="S245" s="2"/>
      <c r="T245" s="2"/>
      <c r="U245" s="34">
        <f t="shared" si="3"/>
        <v>0.96309999999999996</v>
      </c>
    </row>
    <row r="246" spans="1:21" x14ac:dyDescent="0.2">
      <c r="A246" s="18" t="s">
        <v>747</v>
      </c>
      <c r="B246" s="19" t="s">
        <v>748</v>
      </c>
      <c r="C246" s="19" t="s">
        <v>749</v>
      </c>
      <c r="D246" s="20">
        <v>4.4738156609999997</v>
      </c>
      <c r="E246" s="20">
        <v>12.489310975</v>
      </c>
      <c r="F246" s="1">
        <v>0.45068493406825083</v>
      </c>
      <c r="G246" s="42" t="s">
        <v>187</v>
      </c>
      <c r="J246" s="44"/>
      <c r="K246" s="35">
        <v>0.86050000000000004</v>
      </c>
      <c r="L246" s="35">
        <v>9.2899999999999996E-2</v>
      </c>
      <c r="M246" s="35">
        <v>0</v>
      </c>
      <c r="N246" s="21"/>
      <c r="Q246" s="22" t="s">
        <v>187</v>
      </c>
      <c r="R246" s="2"/>
      <c r="S246" s="2"/>
      <c r="T246" s="2"/>
      <c r="U246" s="34">
        <f t="shared" si="3"/>
        <v>0.86050000000000004</v>
      </c>
    </row>
    <row r="247" spans="1:21" x14ac:dyDescent="0.2">
      <c r="A247" s="18" t="s">
        <v>750</v>
      </c>
      <c r="B247" s="19" t="s">
        <v>751</v>
      </c>
      <c r="C247" s="19" t="s">
        <v>637</v>
      </c>
      <c r="D247" s="20">
        <v>0.22791326275000001</v>
      </c>
      <c r="E247" s="20">
        <v>0.92064681599999998</v>
      </c>
      <c r="F247" s="1">
        <v>0.37651507063285478</v>
      </c>
      <c r="G247" s="42"/>
      <c r="I247" s="43" t="s">
        <v>187</v>
      </c>
      <c r="J247" s="44"/>
      <c r="K247" s="35">
        <v>0</v>
      </c>
      <c r="L247" s="35">
        <v>4.0000000000000002E-4</v>
      </c>
      <c r="M247" s="35">
        <v>0.91239999999999999</v>
      </c>
      <c r="N247" s="21"/>
      <c r="O247" s="2" t="s">
        <v>187</v>
      </c>
      <c r="Q247" s="22"/>
      <c r="R247" s="2"/>
      <c r="S247" s="2"/>
      <c r="T247" s="2"/>
      <c r="U247" s="34">
        <f t="shared" si="3"/>
        <v>0.91239999999999999</v>
      </c>
    </row>
    <row r="248" spans="1:21" x14ac:dyDescent="0.2">
      <c r="A248" s="18" t="s">
        <v>752</v>
      </c>
      <c r="B248" s="19" t="s">
        <v>753</v>
      </c>
      <c r="C248" s="19" t="s">
        <v>754</v>
      </c>
      <c r="D248" s="20">
        <v>23.137613283250001</v>
      </c>
      <c r="E248" s="20">
        <v>36.755260677499997</v>
      </c>
      <c r="F248" s="1">
        <v>8.1249255971072607</v>
      </c>
      <c r="G248" s="42" t="s">
        <v>187</v>
      </c>
      <c r="J248" s="44"/>
      <c r="K248" s="35">
        <v>0.88349999999999995</v>
      </c>
      <c r="L248" s="35">
        <v>2E-3</v>
      </c>
      <c r="M248" s="35">
        <v>0</v>
      </c>
      <c r="N248" s="21"/>
      <c r="Q248" s="22" t="s">
        <v>187</v>
      </c>
      <c r="R248" s="2"/>
      <c r="S248" s="2"/>
      <c r="T248" s="2"/>
      <c r="U248" s="34">
        <f t="shared" si="3"/>
        <v>0.88349999999999995</v>
      </c>
    </row>
    <row r="249" spans="1:21" x14ac:dyDescent="0.2">
      <c r="A249" s="18" t="s">
        <v>755</v>
      </c>
      <c r="B249" s="19" t="s">
        <v>756</v>
      </c>
      <c r="C249" s="19" t="s">
        <v>757</v>
      </c>
      <c r="D249" s="20">
        <v>1.2545565019999998</v>
      </c>
      <c r="E249" s="20">
        <v>12.44692536</v>
      </c>
      <c r="F249" s="1">
        <v>0</v>
      </c>
      <c r="G249" s="42"/>
      <c r="H249" s="43" t="s">
        <v>187</v>
      </c>
      <c r="J249" s="44"/>
      <c r="K249" s="35">
        <v>2.2000000000000001E-3</v>
      </c>
      <c r="L249" s="35">
        <v>0.96919999999999995</v>
      </c>
      <c r="M249" s="35">
        <v>1E-4</v>
      </c>
      <c r="N249" s="21"/>
      <c r="O249" s="2" t="s">
        <v>187</v>
      </c>
      <c r="Q249" s="22"/>
      <c r="R249" s="2"/>
      <c r="S249" s="2"/>
      <c r="T249" s="2"/>
      <c r="U249" s="34">
        <f t="shared" si="3"/>
        <v>0.96919999999999995</v>
      </c>
    </row>
    <row r="250" spans="1:21" x14ac:dyDescent="0.2">
      <c r="A250" s="18" t="s">
        <v>758</v>
      </c>
      <c r="B250" s="19" t="s">
        <v>759</v>
      </c>
      <c r="C250" s="19" t="s">
        <v>760</v>
      </c>
      <c r="D250" s="20">
        <v>0.35495501699999998</v>
      </c>
      <c r="E250" s="20">
        <v>0.13685810349999999</v>
      </c>
      <c r="F250" s="1">
        <v>0.13728065288016517</v>
      </c>
      <c r="G250" s="42"/>
      <c r="I250" s="43" t="s">
        <v>187</v>
      </c>
      <c r="J250" s="44"/>
      <c r="K250" s="35">
        <v>0</v>
      </c>
      <c r="L250" s="35">
        <v>0</v>
      </c>
      <c r="M250" s="35">
        <v>0.9657</v>
      </c>
      <c r="N250" s="21"/>
      <c r="O250" s="2" t="s">
        <v>187</v>
      </c>
      <c r="Q250" s="22"/>
      <c r="R250" s="2"/>
      <c r="S250" s="2"/>
      <c r="T250" s="2"/>
      <c r="U250" s="34">
        <f t="shared" si="3"/>
        <v>0.9657</v>
      </c>
    </row>
    <row r="251" spans="1:21" x14ac:dyDescent="0.2">
      <c r="A251" s="18" t="s">
        <v>761</v>
      </c>
      <c r="B251" s="19" t="s">
        <v>762</v>
      </c>
      <c r="C251" s="19" t="s">
        <v>763</v>
      </c>
      <c r="D251" s="20">
        <v>1.0214539736666668</v>
      </c>
      <c r="E251" s="20">
        <v>1.038293903</v>
      </c>
      <c r="F251" s="1">
        <v>4.325770572526387E-2</v>
      </c>
      <c r="G251" s="42"/>
      <c r="I251" s="43" t="s">
        <v>187</v>
      </c>
      <c r="J251" s="44"/>
      <c r="K251" s="35">
        <v>0</v>
      </c>
      <c r="L251" s="35">
        <v>1E-4</v>
      </c>
      <c r="M251" s="35">
        <v>0.4153</v>
      </c>
      <c r="N251" s="21"/>
      <c r="O251" s="2" t="s">
        <v>187</v>
      </c>
      <c r="Q251" s="22"/>
      <c r="R251" s="2"/>
      <c r="S251" s="2"/>
      <c r="T251" s="2"/>
      <c r="U251" s="34">
        <f t="shared" si="3"/>
        <v>0.4153</v>
      </c>
    </row>
    <row r="252" spans="1:21" x14ac:dyDescent="0.2">
      <c r="A252" s="18" t="s">
        <v>764</v>
      </c>
      <c r="B252" s="19" t="s">
        <v>765</v>
      </c>
      <c r="C252" s="19" t="s">
        <v>766</v>
      </c>
      <c r="D252" s="20">
        <v>0.265970243</v>
      </c>
      <c r="E252" s="20">
        <v>0.21736608300000002</v>
      </c>
      <c r="F252" s="1">
        <v>0.46141552773640226</v>
      </c>
      <c r="G252" s="42"/>
      <c r="I252" s="43" t="s">
        <v>187</v>
      </c>
      <c r="J252" s="44"/>
      <c r="K252" s="35">
        <v>0</v>
      </c>
      <c r="L252" s="35">
        <v>0</v>
      </c>
      <c r="M252" s="35">
        <v>0.96930000000000005</v>
      </c>
      <c r="N252" s="21"/>
      <c r="O252" s="2" t="s">
        <v>187</v>
      </c>
      <c r="Q252" s="22"/>
      <c r="R252" s="2"/>
      <c r="S252" s="2"/>
      <c r="T252" s="2"/>
      <c r="U252" s="34">
        <f t="shared" si="3"/>
        <v>0.96930000000000005</v>
      </c>
    </row>
    <row r="253" spans="1:21" x14ac:dyDescent="0.2">
      <c r="A253" s="18" t="s">
        <v>767</v>
      </c>
      <c r="B253" s="19" t="s">
        <v>768</v>
      </c>
      <c r="C253" s="19" t="s">
        <v>637</v>
      </c>
      <c r="D253" s="20">
        <v>0.36386119</v>
      </c>
      <c r="E253" s="20">
        <v>0.44092442600000004</v>
      </c>
      <c r="F253" s="1">
        <v>0.17303082290118327</v>
      </c>
      <c r="G253" s="42"/>
      <c r="I253" s="43" t="s">
        <v>187</v>
      </c>
      <c r="J253" s="44"/>
      <c r="K253" s="35">
        <v>0</v>
      </c>
      <c r="L253" s="35">
        <v>0</v>
      </c>
      <c r="M253" s="35">
        <v>0.96579999999999999</v>
      </c>
      <c r="N253" s="21"/>
      <c r="O253" s="2" t="s">
        <v>187</v>
      </c>
      <c r="Q253" s="22"/>
      <c r="R253" s="2"/>
      <c r="S253" s="2"/>
      <c r="T253" s="2"/>
      <c r="U253" s="34">
        <f t="shared" si="3"/>
        <v>0.96579999999999999</v>
      </c>
    </row>
    <row r="254" spans="1:21" x14ac:dyDescent="0.2">
      <c r="A254" s="18" t="s">
        <v>769</v>
      </c>
      <c r="B254" s="19" t="s">
        <v>770</v>
      </c>
      <c r="C254" s="19" t="s">
        <v>771</v>
      </c>
      <c r="D254" s="20">
        <v>2.3341705747499999</v>
      </c>
      <c r="E254" s="20">
        <v>13.8301122825</v>
      </c>
      <c r="F254" s="1">
        <v>1.3597466436824492</v>
      </c>
      <c r="G254" s="42"/>
      <c r="H254" s="43" t="s">
        <v>187</v>
      </c>
      <c r="J254" s="44"/>
      <c r="K254" s="35">
        <v>0.1211</v>
      </c>
      <c r="L254" s="35">
        <v>0.82750000000000001</v>
      </c>
      <c r="M254" s="35">
        <v>0</v>
      </c>
      <c r="N254" s="21"/>
      <c r="O254" s="2" t="s">
        <v>187</v>
      </c>
      <c r="Q254" s="22"/>
      <c r="R254" s="2"/>
      <c r="S254" s="2"/>
      <c r="T254" s="2"/>
      <c r="U254" s="34">
        <f t="shared" si="3"/>
        <v>0.82750000000000001</v>
      </c>
    </row>
    <row r="255" spans="1:21" x14ac:dyDescent="0.2">
      <c r="A255" s="18" t="s">
        <v>772</v>
      </c>
      <c r="B255" s="19" t="s">
        <v>773</v>
      </c>
      <c r="C255" s="19" t="s">
        <v>774</v>
      </c>
      <c r="D255" s="20">
        <v>28.020841797500005</v>
      </c>
      <c r="E255" s="20">
        <v>28.669693313333337</v>
      </c>
      <c r="F255" s="1">
        <v>0.17176782419381509</v>
      </c>
      <c r="G255" s="24" t="s">
        <v>187</v>
      </c>
      <c r="J255" s="44"/>
      <c r="K255" s="35">
        <v>0.92049999999999998</v>
      </c>
      <c r="L255" s="35">
        <v>2.0000000000000001E-4</v>
      </c>
      <c r="M255" s="35">
        <v>0</v>
      </c>
      <c r="N255" s="21"/>
      <c r="Q255" s="22" t="s">
        <v>187</v>
      </c>
      <c r="R255" s="2"/>
      <c r="S255" s="2"/>
      <c r="T255" s="2"/>
      <c r="U255" s="34">
        <f t="shared" si="3"/>
        <v>0.92049999999999998</v>
      </c>
    </row>
    <row r="256" spans="1:21" x14ac:dyDescent="0.2">
      <c r="A256" s="18" t="s">
        <v>775</v>
      </c>
      <c r="B256" s="19" t="s">
        <v>776</v>
      </c>
      <c r="C256" s="19" t="s">
        <v>777</v>
      </c>
      <c r="D256" s="20">
        <v>0.13495057524999998</v>
      </c>
      <c r="E256" s="20">
        <v>0.28024435850000001</v>
      </c>
      <c r="F256" s="1">
        <v>54.331678390945463</v>
      </c>
      <c r="G256" s="42"/>
      <c r="I256" s="43" t="s">
        <v>187</v>
      </c>
      <c r="J256" s="44"/>
      <c r="K256" s="35">
        <v>0</v>
      </c>
      <c r="L256" s="35">
        <v>0</v>
      </c>
      <c r="M256" s="35">
        <v>0.83150000000000002</v>
      </c>
      <c r="N256" s="21"/>
      <c r="O256" s="2" t="s">
        <v>187</v>
      </c>
      <c r="Q256" s="22"/>
      <c r="R256" s="2"/>
      <c r="S256" s="2"/>
      <c r="T256" s="2"/>
      <c r="U256" s="34">
        <f t="shared" si="3"/>
        <v>0.83150000000000002</v>
      </c>
    </row>
    <row r="257" spans="1:21" x14ac:dyDescent="0.2">
      <c r="A257" s="18" t="s">
        <v>778</v>
      </c>
      <c r="B257" s="19" t="s">
        <v>779</v>
      </c>
      <c r="C257" s="19" t="s">
        <v>780</v>
      </c>
      <c r="D257" s="20">
        <v>6.9586198795000005</v>
      </c>
      <c r="E257" s="20">
        <v>19.347388885000001</v>
      </c>
      <c r="F257" s="1">
        <v>0.92283105547329147</v>
      </c>
      <c r="G257" s="42" t="s">
        <v>187</v>
      </c>
      <c r="J257" s="44"/>
      <c r="K257" s="35">
        <v>0.96140000000000003</v>
      </c>
      <c r="L257" s="35">
        <v>2.1100000000000001E-2</v>
      </c>
      <c r="M257" s="35">
        <v>0</v>
      </c>
      <c r="N257" s="21"/>
      <c r="Q257" s="22" t="s">
        <v>187</v>
      </c>
      <c r="R257" s="2"/>
      <c r="S257" s="2"/>
      <c r="T257" s="2"/>
      <c r="U257" s="34">
        <f t="shared" si="3"/>
        <v>0.96140000000000003</v>
      </c>
    </row>
    <row r="258" spans="1:21" x14ac:dyDescent="0.2">
      <c r="A258" s="18" t="s">
        <v>781</v>
      </c>
      <c r="B258" s="19" t="s">
        <v>782</v>
      </c>
      <c r="C258" s="19" t="s">
        <v>783</v>
      </c>
      <c r="D258" s="20">
        <v>1.25634999075</v>
      </c>
      <c r="E258" s="20">
        <v>6.8719033872499997</v>
      </c>
      <c r="F258" s="1">
        <v>1.0732926406041949</v>
      </c>
      <c r="G258" s="42"/>
      <c r="H258" s="43" t="s">
        <v>187</v>
      </c>
      <c r="J258" s="44"/>
      <c r="K258" s="35">
        <v>1E-3</v>
      </c>
      <c r="L258" s="35">
        <v>0.91439999999999999</v>
      </c>
      <c r="M258" s="35">
        <v>1.1999999999999999E-3</v>
      </c>
      <c r="N258" s="21" t="s">
        <v>187</v>
      </c>
      <c r="Q258" s="22"/>
      <c r="R258" s="2"/>
      <c r="S258" s="2"/>
      <c r="T258" s="2"/>
      <c r="U258" s="34">
        <f t="shared" ref="U258:U321" si="4">MAX(K258:M258)</f>
        <v>0.91439999999999999</v>
      </c>
    </row>
    <row r="259" spans="1:21" x14ac:dyDescent="0.2">
      <c r="A259" s="18" t="s">
        <v>784</v>
      </c>
      <c r="B259" s="19" t="s">
        <v>785</v>
      </c>
      <c r="C259" s="19" t="s">
        <v>786</v>
      </c>
      <c r="D259" s="20">
        <v>1.0983478362499999</v>
      </c>
      <c r="E259" s="20">
        <v>11.035477433333334</v>
      </c>
      <c r="F259" s="1">
        <v>0</v>
      </c>
      <c r="G259" s="42"/>
      <c r="H259" s="43" t="s">
        <v>187</v>
      </c>
      <c r="J259" s="44"/>
      <c r="K259" s="35">
        <v>8.0000000000000004E-4</v>
      </c>
      <c r="L259" s="35">
        <v>0.97040000000000004</v>
      </c>
      <c r="M259" s="35">
        <v>2.9999999999999997E-4</v>
      </c>
      <c r="N259" s="21"/>
      <c r="O259" s="2" t="s">
        <v>187</v>
      </c>
      <c r="Q259" s="22"/>
      <c r="R259" s="2"/>
      <c r="S259" s="2"/>
      <c r="T259" s="2"/>
      <c r="U259" s="34">
        <f t="shared" si="4"/>
        <v>0.97040000000000004</v>
      </c>
    </row>
    <row r="260" spans="1:21" x14ac:dyDescent="0.2">
      <c r="A260" s="18" t="s">
        <v>787</v>
      </c>
      <c r="B260" s="19" t="s">
        <v>788</v>
      </c>
      <c r="C260" s="19" t="s">
        <v>789</v>
      </c>
      <c r="D260" s="20">
        <v>0.81060001500000001</v>
      </c>
      <c r="E260" s="20">
        <v>4.8491662575000003</v>
      </c>
      <c r="F260" s="1">
        <v>0.46141552773606415</v>
      </c>
      <c r="G260" s="42"/>
      <c r="H260" s="43" t="s">
        <v>187</v>
      </c>
      <c r="J260" s="44"/>
      <c r="K260" s="35">
        <v>0</v>
      </c>
      <c r="L260" s="35">
        <v>0.8538</v>
      </c>
      <c r="M260" s="35">
        <v>2.92E-2</v>
      </c>
      <c r="N260" s="21"/>
      <c r="O260" s="2" t="s">
        <v>187</v>
      </c>
      <c r="Q260" s="22"/>
      <c r="R260" s="2"/>
      <c r="S260" s="2"/>
      <c r="T260" s="2"/>
      <c r="U260" s="34">
        <f t="shared" si="4"/>
        <v>0.8538</v>
      </c>
    </row>
    <row r="261" spans="1:21" x14ac:dyDescent="0.2">
      <c r="A261" s="18" t="s">
        <v>790</v>
      </c>
      <c r="B261" s="19" t="s">
        <v>791</v>
      </c>
      <c r="C261" s="19" t="s">
        <v>792</v>
      </c>
      <c r="D261" s="20">
        <v>1.2821324107500001</v>
      </c>
      <c r="E261" s="20">
        <v>17.870910209999998</v>
      </c>
      <c r="F261" s="1">
        <v>0</v>
      </c>
      <c r="G261" s="42"/>
      <c r="H261" s="43" t="s">
        <v>187</v>
      </c>
      <c r="J261" s="44"/>
      <c r="K261" s="35">
        <v>2.5999999999999999E-3</v>
      </c>
      <c r="L261" s="35">
        <v>0.96940000000000004</v>
      </c>
      <c r="M261" s="35">
        <v>0</v>
      </c>
      <c r="N261" s="21"/>
      <c r="O261" s="2" t="s">
        <v>187</v>
      </c>
      <c r="Q261" s="22"/>
      <c r="R261" s="2"/>
      <c r="S261" s="2"/>
      <c r="T261" s="2"/>
      <c r="U261" s="34">
        <f t="shared" si="4"/>
        <v>0.96940000000000004</v>
      </c>
    </row>
    <row r="262" spans="1:21" x14ac:dyDescent="0.2">
      <c r="A262" s="18" t="s">
        <v>793</v>
      </c>
      <c r="B262" s="19" t="s">
        <v>794</v>
      </c>
      <c r="C262" s="19" t="s">
        <v>795</v>
      </c>
      <c r="D262" s="20">
        <v>1.896681364</v>
      </c>
      <c r="E262" s="20">
        <v>11.988179270249999</v>
      </c>
      <c r="F262" s="1">
        <v>8.7679139109950714</v>
      </c>
      <c r="G262" s="42"/>
      <c r="H262" s="43" t="s">
        <v>187</v>
      </c>
      <c r="J262" s="44"/>
      <c r="K262" s="35">
        <v>3.56E-2</v>
      </c>
      <c r="L262" s="35">
        <v>0.9163</v>
      </c>
      <c r="M262" s="35">
        <v>0</v>
      </c>
      <c r="N262" s="21"/>
      <c r="O262" s="2" t="s">
        <v>187</v>
      </c>
      <c r="Q262" s="22"/>
      <c r="R262" s="2"/>
      <c r="S262" s="2"/>
      <c r="T262" s="2"/>
      <c r="U262" s="34">
        <f t="shared" si="4"/>
        <v>0.9163</v>
      </c>
    </row>
    <row r="263" spans="1:21" x14ac:dyDescent="0.2">
      <c r="A263" s="18" t="s">
        <v>796</v>
      </c>
      <c r="B263" s="19" t="s">
        <v>797</v>
      </c>
      <c r="C263" s="19" t="s">
        <v>798</v>
      </c>
      <c r="D263" s="20">
        <v>4.2291557702500002</v>
      </c>
      <c r="E263" s="20">
        <v>9.9153276489999982</v>
      </c>
      <c r="F263" s="1">
        <v>11.461561708983272</v>
      </c>
      <c r="G263" s="42" t="s">
        <v>187</v>
      </c>
      <c r="J263" s="44"/>
      <c r="K263" s="35">
        <v>0.80469999999999997</v>
      </c>
      <c r="L263" s="35">
        <v>0.10249999999999999</v>
      </c>
      <c r="M263" s="35">
        <v>0</v>
      </c>
      <c r="N263" s="21"/>
      <c r="Q263" s="22" t="s">
        <v>187</v>
      </c>
      <c r="R263" s="2"/>
      <c r="S263" s="2"/>
      <c r="T263" s="2"/>
      <c r="U263" s="34">
        <f t="shared" si="4"/>
        <v>0.80469999999999997</v>
      </c>
    </row>
    <row r="264" spans="1:21" x14ac:dyDescent="0.2">
      <c r="A264" s="18" t="s">
        <v>799</v>
      </c>
      <c r="B264" s="19" t="s">
        <v>800</v>
      </c>
      <c r="C264" s="19" t="s">
        <v>801</v>
      </c>
      <c r="D264" s="20">
        <v>5.1048971103333338</v>
      </c>
      <c r="E264" s="20">
        <v>3.8531916719999999</v>
      </c>
      <c r="F264" s="1">
        <v>5.4097114145410279</v>
      </c>
      <c r="G264" s="42"/>
      <c r="J264" s="44" t="s">
        <v>187</v>
      </c>
      <c r="K264" s="35">
        <v>2.3199999999999998E-2</v>
      </c>
      <c r="L264" s="35">
        <v>1.6000000000000001E-3</v>
      </c>
      <c r="M264" s="35">
        <v>0</v>
      </c>
      <c r="N264" s="21"/>
      <c r="Q264" s="22"/>
      <c r="R264" s="2"/>
      <c r="S264" s="2"/>
      <c r="T264" s="2"/>
      <c r="U264" s="34">
        <f t="shared" si="4"/>
        <v>2.3199999999999998E-2</v>
      </c>
    </row>
    <row r="265" spans="1:21" x14ac:dyDescent="0.2">
      <c r="A265" s="18" t="s">
        <v>802</v>
      </c>
      <c r="B265" s="19" t="s">
        <v>803</v>
      </c>
      <c r="C265" s="19" t="s">
        <v>804</v>
      </c>
      <c r="D265" s="20">
        <v>0.20784342449999998</v>
      </c>
      <c r="E265" s="20">
        <v>6.9566007999999999E-2</v>
      </c>
      <c r="F265" s="1">
        <v>0.22174823905771518</v>
      </c>
      <c r="G265" s="42"/>
      <c r="I265" s="43" t="s">
        <v>187</v>
      </c>
      <c r="J265" s="44"/>
      <c r="K265" s="35">
        <v>0</v>
      </c>
      <c r="L265" s="35">
        <v>0</v>
      </c>
      <c r="M265" s="35">
        <v>0.93600000000000005</v>
      </c>
      <c r="N265" s="21"/>
      <c r="O265" s="2" t="s">
        <v>187</v>
      </c>
      <c r="Q265" s="22"/>
      <c r="R265" s="2"/>
      <c r="S265" s="2"/>
      <c r="T265" s="2"/>
      <c r="U265" s="34">
        <f t="shared" si="4"/>
        <v>0.93600000000000005</v>
      </c>
    </row>
    <row r="266" spans="1:21" x14ac:dyDescent="0.2">
      <c r="A266" s="18" t="s">
        <v>805</v>
      </c>
      <c r="B266" s="19" t="s">
        <v>806</v>
      </c>
      <c r="C266" s="19" t="s">
        <v>807</v>
      </c>
      <c r="D266" s="20">
        <v>14.25618362</v>
      </c>
      <c r="E266" s="20">
        <v>2.8936022449999999</v>
      </c>
      <c r="F266" s="1">
        <v>2.447250401814296</v>
      </c>
      <c r="G266" s="42"/>
      <c r="J266" s="44" t="s">
        <v>187</v>
      </c>
      <c r="K266" s="35">
        <v>8.0000000000000004E-4</v>
      </c>
      <c r="L266" s="35">
        <v>0</v>
      </c>
      <c r="M266" s="35">
        <v>0</v>
      </c>
      <c r="N266" s="21"/>
      <c r="Q266" s="22"/>
      <c r="R266" s="2"/>
      <c r="S266" s="2"/>
      <c r="T266" s="2"/>
      <c r="U266" s="34">
        <f t="shared" si="4"/>
        <v>8.0000000000000004E-4</v>
      </c>
    </row>
    <row r="267" spans="1:21" x14ac:dyDescent="0.2">
      <c r="A267" s="18" t="s">
        <v>808</v>
      </c>
      <c r="B267" s="19" t="s">
        <v>809</v>
      </c>
      <c r="C267" s="19" t="s">
        <v>810</v>
      </c>
      <c r="D267" s="20">
        <v>18.62329081</v>
      </c>
      <c r="E267" s="20">
        <v>22.235057784999999</v>
      </c>
      <c r="F267" s="1">
        <v>0.47379496872419569</v>
      </c>
      <c r="G267" s="42" t="s">
        <v>187</v>
      </c>
      <c r="J267" s="44"/>
      <c r="K267" s="35">
        <v>0.97699999999999998</v>
      </c>
      <c r="L267" s="35">
        <v>2.9999999999999997E-4</v>
      </c>
      <c r="M267" s="35">
        <v>0</v>
      </c>
      <c r="N267" s="21"/>
      <c r="Q267" s="22" t="s">
        <v>187</v>
      </c>
      <c r="R267" s="2"/>
      <c r="S267" s="2"/>
      <c r="T267" s="2"/>
      <c r="U267" s="34">
        <f t="shared" si="4"/>
        <v>0.97699999999999998</v>
      </c>
    </row>
    <row r="268" spans="1:21" x14ac:dyDescent="0.2">
      <c r="A268" s="18" t="s">
        <v>811</v>
      </c>
      <c r="B268" s="19" t="s">
        <v>812</v>
      </c>
      <c r="C268" s="19" t="s">
        <v>813</v>
      </c>
      <c r="D268" s="20">
        <v>0.36389406050000001</v>
      </c>
      <c r="E268" s="20">
        <v>9.4854400500000005E-2</v>
      </c>
      <c r="F268" s="1">
        <v>0.17303082290116598</v>
      </c>
      <c r="G268" s="42"/>
      <c r="I268" s="43" t="s">
        <v>187</v>
      </c>
      <c r="J268" s="44"/>
      <c r="K268" s="35">
        <v>0</v>
      </c>
      <c r="L268" s="35">
        <v>0</v>
      </c>
      <c r="M268" s="35">
        <v>0.95620000000000005</v>
      </c>
      <c r="N268" s="21" t="s">
        <v>187</v>
      </c>
      <c r="Q268" s="22"/>
      <c r="R268" s="2"/>
      <c r="S268" s="2"/>
      <c r="T268" s="2"/>
      <c r="U268" s="34">
        <f t="shared" si="4"/>
        <v>0.95620000000000005</v>
      </c>
    </row>
    <row r="269" spans="1:21" x14ac:dyDescent="0.2">
      <c r="A269" s="18" t="s">
        <v>814</v>
      </c>
      <c r="B269" s="19" t="s">
        <v>815</v>
      </c>
      <c r="C269" s="19" t="s">
        <v>816</v>
      </c>
      <c r="D269" s="20">
        <v>12.60636204</v>
      </c>
      <c r="E269" s="20">
        <v>9.2452815696666661</v>
      </c>
      <c r="F269" s="1">
        <v>0</v>
      </c>
      <c r="G269" s="42" t="s">
        <v>187</v>
      </c>
      <c r="J269" s="44"/>
      <c r="K269" s="35">
        <v>0.9385</v>
      </c>
      <c r="L269" s="35">
        <v>1E-4</v>
      </c>
      <c r="M269" s="35">
        <v>0</v>
      </c>
      <c r="N269" s="21"/>
      <c r="Q269" s="22" t="s">
        <v>187</v>
      </c>
      <c r="R269" s="2"/>
      <c r="S269" s="2"/>
      <c r="T269" s="2"/>
      <c r="U269" s="34">
        <f t="shared" si="4"/>
        <v>0.9385</v>
      </c>
    </row>
    <row r="270" spans="1:21" x14ac:dyDescent="0.2">
      <c r="A270" s="18" t="s">
        <v>817</v>
      </c>
      <c r="B270" s="19" t="s">
        <v>818</v>
      </c>
      <c r="C270" s="19" t="s">
        <v>816</v>
      </c>
      <c r="D270" s="20">
        <v>20.568999999999999</v>
      </c>
      <c r="E270" s="23" t="s">
        <v>46</v>
      </c>
      <c r="F270" s="1" t="s">
        <v>47</v>
      </c>
      <c r="G270" s="24" t="s">
        <v>187</v>
      </c>
      <c r="J270" s="44"/>
      <c r="K270" s="35" t="e">
        <v>#N/A</v>
      </c>
      <c r="L270" s="35" t="e">
        <v>#N/A</v>
      </c>
      <c r="M270" s="35" t="e">
        <v>#N/A</v>
      </c>
      <c r="N270" s="21"/>
      <c r="Q270" s="22" t="s">
        <v>187</v>
      </c>
      <c r="R270" s="2"/>
      <c r="S270" s="2"/>
      <c r="T270" s="2"/>
      <c r="U270" s="34" t="e">
        <f t="shared" si="4"/>
        <v>#N/A</v>
      </c>
    </row>
    <row r="271" spans="1:21" x14ac:dyDescent="0.2">
      <c r="A271" s="18" t="s">
        <v>819</v>
      </c>
      <c r="B271" s="19" t="s">
        <v>820</v>
      </c>
      <c r="C271" s="19" t="s">
        <v>821</v>
      </c>
      <c r="D271" s="20">
        <v>0.37850907199999995</v>
      </c>
      <c r="E271" s="20">
        <v>0.29305446000000002</v>
      </c>
      <c r="F271" s="1">
        <v>0.13632731501292641</v>
      </c>
      <c r="G271" s="42"/>
      <c r="I271" s="43" t="s">
        <v>187</v>
      </c>
      <c r="J271" s="44"/>
      <c r="K271" s="35">
        <v>0</v>
      </c>
      <c r="L271" s="35">
        <v>0</v>
      </c>
      <c r="M271" s="35">
        <v>0.96840000000000004</v>
      </c>
      <c r="N271" s="21" t="s">
        <v>187</v>
      </c>
      <c r="Q271" s="22"/>
      <c r="R271" s="2"/>
      <c r="S271" s="2"/>
      <c r="T271" s="2"/>
      <c r="U271" s="34">
        <f t="shared" si="4"/>
        <v>0.96840000000000004</v>
      </c>
    </row>
    <row r="272" spans="1:21" x14ac:dyDescent="0.2">
      <c r="A272" s="18" t="s">
        <v>822</v>
      </c>
      <c r="B272" s="19" t="s">
        <v>823</v>
      </c>
      <c r="C272" s="19" t="s">
        <v>824</v>
      </c>
      <c r="D272" s="20">
        <v>0.46850905925000003</v>
      </c>
      <c r="E272" s="20">
        <v>0.124500162</v>
      </c>
      <c r="F272" s="1">
        <v>0.71775748758953606</v>
      </c>
      <c r="G272" s="42"/>
      <c r="I272" s="43" t="s">
        <v>187</v>
      </c>
      <c r="J272" s="44"/>
      <c r="K272" s="35">
        <v>0</v>
      </c>
      <c r="L272" s="35">
        <v>0</v>
      </c>
      <c r="M272" s="35">
        <v>0.94479999999999997</v>
      </c>
      <c r="N272" s="21"/>
      <c r="O272" s="2" t="s">
        <v>187</v>
      </c>
      <c r="Q272" s="22"/>
      <c r="R272" s="2"/>
      <c r="S272" s="2"/>
      <c r="T272" s="2"/>
      <c r="U272" s="34">
        <f t="shared" si="4"/>
        <v>0.94479999999999997</v>
      </c>
    </row>
    <row r="273" spans="1:21" x14ac:dyDescent="0.2">
      <c r="A273" s="18" t="s">
        <v>825</v>
      </c>
      <c r="B273" s="19" t="s">
        <v>826</v>
      </c>
      <c r="C273" s="19" t="s">
        <v>827</v>
      </c>
      <c r="D273" s="20">
        <v>0.62229642500000004</v>
      </c>
      <c r="E273" s="20">
        <v>0.66660383074999996</v>
      </c>
      <c r="F273" s="1">
        <v>0.1803237138178144</v>
      </c>
      <c r="G273" s="42"/>
      <c r="I273" s="43" t="s">
        <v>187</v>
      </c>
      <c r="J273" s="44"/>
      <c r="K273" s="35">
        <v>0</v>
      </c>
      <c r="L273" s="35">
        <v>0</v>
      </c>
      <c r="M273" s="35">
        <v>0.89359999999999995</v>
      </c>
      <c r="N273" s="21"/>
      <c r="O273" s="2" t="s">
        <v>187</v>
      </c>
      <c r="Q273" s="22"/>
      <c r="R273" s="2"/>
      <c r="S273" s="2"/>
      <c r="T273" s="2"/>
      <c r="U273" s="34">
        <f t="shared" si="4"/>
        <v>0.89359999999999995</v>
      </c>
    </row>
    <row r="274" spans="1:21" x14ac:dyDescent="0.2">
      <c r="A274" s="18" t="s">
        <v>828</v>
      </c>
      <c r="B274" s="19" t="s">
        <v>829</v>
      </c>
      <c r="C274" s="19" t="s">
        <v>830</v>
      </c>
      <c r="D274" s="20">
        <v>0.81046770575000004</v>
      </c>
      <c r="E274" s="20">
        <v>0.6425609716666667</v>
      </c>
      <c r="F274" s="1">
        <v>0.62721291762720544</v>
      </c>
      <c r="G274" s="42"/>
      <c r="I274" s="43" t="s">
        <v>187</v>
      </c>
      <c r="J274" s="44"/>
      <c r="K274" s="35">
        <v>0</v>
      </c>
      <c r="L274" s="35">
        <v>0</v>
      </c>
      <c r="M274" s="35">
        <v>0.75380000000000003</v>
      </c>
      <c r="N274" s="21"/>
      <c r="O274" s="2" t="s">
        <v>187</v>
      </c>
      <c r="Q274" s="22"/>
      <c r="R274" s="2"/>
      <c r="S274" s="2"/>
      <c r="T274" s="2"/>
      <c r="U274" s="34">
        <f t="shared" si="4"/>
        <v>0.75380000000000003</v>
      </c>
    </row>
    <row r="275" spans="1:21" x14ac:dyDescent="0.2">
      <c r="A275" s="18" t="s">
        <v>831</v>
      </c>
      <c r="B275" s="19" t="s">
        <v>832</v>
      </c>
      <c r="C275" s="19" t="s">
        <v>833</v>
      </c>
      <c r="D275" s="20">
        <v>26.710097037500002</v>
      </c>
      <c r="E275" s="20">
        <v>26.265544547499996</v>
      </c>
      <c r="F275" s="1">
        <v>0.50623875043056565</v>
      </c>
      <c r="G275" s="24" t="s">
        <v>187</v>
      </c>
      <c r="J275" s="44"/>
      <c r="K275" s="35">
        <v>0.94099999999999995</v>
      </c>
      <c r="L275" s="35">
        <v>2.0000000000000001E-4</v>
      </c>
      <c r="M275" s="35">
        <v>0</v>
      </c>
      <c r="N275" s="21"/>
      <c r="Q275" s="22" t="s">
        <v>187</v>
      </c>
      <c r="R275" s="2"/>
      <c r="S275" s="2"/>
      <c r="T275" s="2"/>
      <c r="U275" s="34">
        <f t="shared" si="4"/>
        <v>0.94099999999999995</v>
      </c>
    </row>
    <row r="276" spans="1:21" x14ac:dyDescent="0.2">
      <c r="A276" s="18" t="s">
        <v>834</v>
      </c>
      <c r="B276" s="19" t="s">
        <v>835</v>
      </c>
      <c r="C276" s="19" t="s">
        <v>836</v>
      </c>
      <c r="D276" s="20">
        <v>14.889570221750001</v>
      </c>
      <c r="E276" s="20">
        <v>10.59021609325</v>
      </c>
      <c r="F276" s="1">
        <v>0.45416816342605326</v>
      </c>
      <c r="G276" s="42" t="s">
        <v>187</v>
      </c>
      <c r="J276" s="44"/>
      <c r="K276" s="35">
        <v>0.95699999999999996</v>
      </c>
      <c r="L276" s="35">
        <v>1E-4</v>
      </c>
      <c r="M276" s="35">
        <v>0</v>
      </c>
      <c r="N276" s="21"/>
      <c r="Q276" s="22" t="s">
        <v>187</v>
      </c>
      <c r="R276" s="2"/>
      <c r="S276" s="2"/>
      <c r="T276" s="2"/>
      <c r="U276" s="34">
        <f t="shared" si="4"/>
        <v>0.95699999999999996</v>
      </c>
    </row>
    <row r="277" spans="1:21" x14ac:dyDescent="0.2">
      <c r="A277" s="18" t="s">
        <v>837</v>
      </c>
      <c r="B277" s="19" t="s">
        <v>838</v>
      </c>
      <c r="C277" s="19" t="s">
        <v>839</v>
      </c>
      <c r="D277" s="20">
        <v>19.8733425215</v>
      </c>
      <c r="E277" s="20">
        <v>25.2945617725</v>
      </c>
      <c r="F277" s="1">
        <v>0.28901851737343021</v>
      </c>
      <c r="G277" s="42" t="s">
        <v>187</v>
      </c>
      <c r="J277" s="44"/>
      <c r="K277" s="35">
        <v>0.96930000000000005</v>
      </c>
      <c r="L277" s="35">
        <v>5.0000000000000001E-4</v>
      </c>
      <c r="M277" s="35">
        <v>0</v>
      </c>
      <c r="N277" s="21"/>
      <c r="Q277" s="22" t="s">
        <v>187</v>
      </c>
      <c r="R277" s="2"/>
      <c r="S277" s="2"/>
      <c r="T277" s="2"/>
      <c r="U277" s="34">
        <f t="shared" si="4"/>
        <v>0.96930000000000005</v>
      </c>
    </row>
    <row r="278" spans="1:21" x14ac:dyDescent="0.2">
      <c r="A278" s="18" t="s">
        <v>840</v>
      </c>
      <c r="B278" s="19" t="s">
        <v>841</v>
      </c>
      <c r="C278" s="19" t="s">
        <v>842</v>
      </c>
      <c r="D278" s="20">
        <v>0.57015793400000003</v>
      </c>
      <c r="E278" s="20">
        <v>4.8403810410000006</v>
      </c>
      <c r="F278" s="1">
        <v>84.187360378747627</v>
      </c>
      <c r="G278" s="42"/>
      <c r="H278" s="43" t="s">
        <v>187</v>
      </c>
      <c r="J278" s="44"/>
      <c r="K278" s="35">
        <v>0</v>
      </c>
      <c r="L278" s="35">
        <v>0.8649</v>
      </c>
      <c r="M278" s="35">
        <v>5.5399999999999998E-2</v>
      </c>
      <c r="N278" s="21"/>
      <c r="O278" s="2" t="s">
        <v>187</v>
      </c>
      <c r="Q278" s="22"/>
      <c r="R278" s="2"/>
      <c r="S278" s="2"/>
      <c r="T278" s="2"/>
      <c r="U278" s="34">
        <f t="shared" si="4"/>
        <v>0.8649</v>
      </c>
    </row>
    <row r="279" spans="1:21" x14ac:dyDescent="0.2">
      <c r="A279" s="18" t="s">
        <v>843</v>
      </c>
      <c r="B279" s="19" t="s">
        <v>844</v>
      </c>
      <c r="C279" s="19" t="s">
        <v>845</v>
      </c>
      <c r="D279" s="20">
        <v>2.6718632434999998</v>
      </c>
      <c r="E279" s="20">
        <v>2.6194000000000002</v>
      </c>
      <c r="F279" s="1">
        <v>29.753412779940724</v>
      </c>
      <c r="G279" s="42"/>
      <c r="J279" s="44" t="s">
        <v>187</v>
      </c>
      <c r="K279" s="35">
        <v>1E-4</v>
      </c>
      <c r="L279" s="35">
        <v>3.0000000000000001E-3</v>
      </c>
      <c r="M279" s="35">
        <v>1E-4</v>
      </c>
      <c r="N279" s="21"/>
      <c r="Q279" s="22"/>
      <c r="R279" s="2"/>
      <c r="S279" s="2"/>
      <c r="T279" s="2"/>
      <c r="U279" s="34">
        <f t="shared" si="4"/>
        <v>3.0000000000000001E-3</v>
      </c>
    </row>
    <row r="280" spans="1:21" x14ac:dyDescent="0.2">
      <c r="A280" s="18" t="s">
        <v>846</v>
      </c>
      <c r="B280" s="19" t="s">
        <v>847</v>
      </c>
      <c r="C280" s="19" t="s">
        <v>848</v>
      </c>
      <c r="D280" s="20">
        <v>0.28030082850000004</v>
      </c>
      <c r="E280" s="20">
        <v>3.06766156175</v>
      </c>
      <c r="F280" s="1">
        <v>0.18769445196044435</v>
      </c>
      <c r="G280" s="42"/>
      <c r="I280" s="43" t="s">
        <v>187</v>
      </c>
      <c r="J280" s="44"/>
      <c r="K280" s="35">
        <v>0</v>
      </c>
      <c r="L280" s="35">
        <v>0.51229999999999998</v>
      </c>
      <c r="M280" s="35">
        <v>0.33179999999999998</v>
      </c>
      <c r="N280" s="21" t="s">
        <v>187</v>
      </c>
      <c r="Q280" s="22"/>
      <c r="R280" s="2"/>
      <c r="S280" s="2"/>
      <c r="T280" s="2"/>
      <c r="U280" s="34">
        <f t="shared" si="4"/>
        <v>0.51229999999999998</v>
      </c>
    </row>
    <row r="281" spans="1:21" x14ac:dyDescent="0.2">
      <c r="A281" s="18" t="s">
        <v>849</v>
      </c>
      <c r="B281" s="19" t="s">
        <v>850</v>
      </c>
      <c r="C281" s="19" t="s">
        <v>851</v>
      </c>
      <c r="D281" s="20">
        <v>0.58659804000000004</v>
      </c>
      <c r="E281" s="20">
        <v>6.0574697507500002</v>
      </c>
      <c r="F281" s="1">
        <v>0</v>
      </c>
      <c r="G281" s="42"/>
      <c r="H281" s="43" t="s">
        <v>187</v>
      </c>
      <c r="J281" s="44"/>
      <c r="K281" s="35">
        <v>0</v>
      </c>
      <c r="L281" s="35">
        <v>0.93120000000000003</v>
      </c>
      <c r="M281" s="35">
        <v>1.95E-2</v>
      </c>
      <c r="N281" s="21"/>
      <c r="O281" s="2" t="s">
        <v>187</v>
      </c>
      <c r="Q281" s="22"/>
      <c r="R281" s="2"/>
      <c r="S281" s="2"/>
      <c r="T281" s="2"/>
      <c r="U281" s="34">
        <f t="shared" si="4"/>
        <v>0.93120000000000003</v>
      </c>
    </row>
    <row r="282" spans="1:21" x14ac:dyDescent="0.2">
      <c r="A282" s="18" t="s">
        <v>852</v>
      </c>
      <c r="B282" s="19" t="s">
        <v>853</v>
      </c>
      <c r="C282" s="19" t="s">
        <v>854</v>
      </c>
      <c r="D282" s="20">
        <v>0.69861428225</v>
      </c>
      <c r="E282" s="20">
        <v>10.452050278333333</v>
      </c>
      <c r="F282" s="1">
        <v>0</v>
      </c>
      <c r="G282" s="42"/>
      <c r="H282" s="43" t="s">
        <v>187</v>
      </c>
      <c r="J282" s="44"/>
      <c r="K282" s="35">
        <v>0</v>
      </c>
      <c r="L282" s="35">
        <v>0.97170000000000001</v>
      </c>
      <c r="M282" s="35">
        <v>1.6999999999999999E-3</v>
      </c>
      <c r="N282" s="21"/>
      <c r="O282" s="2" t="s">
        <v>187</v>
      </c>
      <c r="Q282" s="22"/>
      <c r="R282" s="2"/>
      <c r="S282" s="2"/>
      <c r="T282" s="2"/>
      <c r="U282" s="34">
        <f t="shared" si="4"/>
        <v>0.97170000000000001</v>
      </c>
    </row>
    <row r="283" spans="1:21" x14ac:dyDescent="0.2">
      <c r="A283" s="18" t="s">
        <v>855</v>
      </c>
      <c r="B283" s="19" t="s">
        <v>856</v>
      </c>
      <c r="C283" s="19" t="s">
        <v>857</v>
      </c>
      <c r="D283" s="20">
        <v>0.59844051200000004</v>
      </c>
      <c r="E283" s="20">
        <v>6.9626000000000001</v>
      </c>
      <c r="F283" s="1">
        <v>0</v>
      </c>
      <c r="G283" s="42"/>
      <c r="H283" s="43" t="s">
        <v>187</v>
      </c>
      <c r="J283" s="44"/>
      <c r="K283" s="35">
        <v>0</v>
      </c>
      <c r="L283" s="35">
        <v>0.95050000000000001</v>
      </c>
      <c r="M283" s="35">
        <v>1.06E-2</v>
      </c>
      <c r="N283" s="21"/>
      <c r="O283" s="2" t="s">
        <v>187</v>
      </c>
      <c r="Q283" s="22"/>
      <c r="R283" s="2"/>
      <c r="S283" s="2"/>
      <c r="T283" s="2"/>
      <c r="U283" s="34">
        <f t="shared" si="4"/>
        <v>0.95050000000000001</v>
      </c>
    </row>
    <row r="284" spans="1:21" x14ac:dyDescent="0.2">
      <c r="A284" s="18" t="s">
        <v>858</v>
      </c>
      <c r="B284" s="19" t="s">
        <v>859</v>
      </c>
      <c r="C284" s="19" t="s">
        <v>860</v>
      </c>
      <c r="D284" s="20">
        <v>0.22955750624999999</v>
      </c>
      <c r="E284" s="20">
        <v>0.13739073199999999</v>
      </c>
      <c r="F284" s="1">
        <v>0</v>
      </c>
      <c r="G284" s="42"/>
      <c r="I284" s="43" t="s">
        <v>187</v>
      </c>
      <c r="J284" s="44"/>
      <c r="K284" s="35">
        <v>0</v>
      </c>
      <c r="L284" s="35">
        <v>0</v>
      </c>
      <c r="M284" s="35">
        <v>0.96150000000000002</v>
      </c>
      <c r="N284" s="21"/>
      <c r="O284" s="2" t="s">
        <v>187</v>
      </c>
      <c r="Q284" s="22"/>
      <c r="R284" s="2"/>
      <c r="S284" s="2"/>
      <c r="T284" s="2"/>
      <c r="U284" s="34">
        <f t="shared" si="4"/>
        <v>0.96150000000000002</v>
      </c>
    </row>
    <row r="285" spans="1:21" x14ac:dyDescent="0.2">
      <c r="A285" s="18" t="s">
        <v>861</v>
      </c>
      <c r="B285" s="19" t="s">
        <v>862</v>
      </c>
      <c r="C285" s="19" t="s">
        <v>863</v>
      </c>
      <c r="D285" s="20">
        <v>0.21374557450000001</v>
      </c>
      <c r="E285" s="20">
        <v>0.13589557075</v>
      </c>
      <c r="F285" s="1">
        <v>0.31036918906027539</v>
      </c>
      <c r="G285" s="42"/>
      <c r="I285" s="43" t="s">
        <v>187</v>
      </c>
      <c r="J285" s="44"/>
      <c r="K285" s="35">
        <v>0</v>
      </c>
      <c r="L285" s="35">
        <v>0</v>
      </c>
      <c r="M285" s="35">
        <v>0.95689999999999997</v>
      </c>
      <c r="N285" s="21"/>
      <c r="O285" s="2" t="s">
        <v>187</v>
      </c>
      <c r="Q285" s="22"/>
      <c r="R285" s="2"/>
      <c r="S285" s="2"/>
      <c r="T285" s="2"/>
      <c r="U285" s="34">
        <f t="shared" si="4"/>
        <v>0.95689999999999997</v>
      </c>
    </row>
    <row r="286" spans="1:21" x14ac:dyDescent="0.2">
      <c r="A286" s="18" t="s">
        <v>864</v>
      </c>
      <c r="B286" s="19" t="s">
        <v>865</v>
      </c>
      <c r="C286" s="19" t="s">
        <v>866</v>
      </c>
      <c r="D286" s="20">
        <v>1.3346367810000002</v>
      </c>
      <c r="E286" s="20">
        <v>1.0235000000000001</v>
      </c>
      <c r="F286" s="1">
        <v>55.900351283536033</v>
      </c>
      <c r="G286" s="42"/>
      <c r="J286" s="44" t="s">
        <v>187</v>
      </c>
      <c r="K286" s="35">
        <v>0</v>
      </c>
      <c r="L286" s="35">
        <v>0</v>
      </c>
      <c r="M286" s="35">
        <v>0.1169</v>
      </c>
      <c r="N286" s="21"/>
      <c r="Q286" s="22"/>
      <c r="R286" s="2"/>
      <c r="S286" s="2"/>
      <c r="T286" s="2"/>
      <c r="U286" s="34">
        <f t="shared" si="4"/>
        <v>0.1169</v>
      </c>
    </row>
    <row r="287" spans="1:21" x14ac:dyDescent="0.2">
      <c r="A287" s="18" t="s">
        <v>867</v>
      </c>
      <c r="B287" s="19" t="s">
        <v>868</v>
      </c>
      <c r="C287" s="19" t="s">
        <v>869</v>
      </c>
      <c r="D287" s="20">
        <v>0.45528000000000002</v>
      </c>
      <c r="E287" s="20">
        <v>10.101000000000001</v>
      </c>
      <c r="F287" s="1">
        <v>0.43713049996053766</v>
      </c>
      <c r="G287" s="42"/>
      <c r="H287" s="43" t="s">
        <v>187</v>
      </c>
      <c r="J287" s="44"/>
      <c r="K287" s="35">
        <v>0</v>
      </c>
      <c r="L287" s="35">
        <v>0.95979999999999999</v>
      </c>
      <c r="M287" s="35">
        <v>5.1000000000000004E-3</v>
      </c>
      <c r="N287" s="21"/>
      <c r="O287" s="2" t="s">
        <v>187</v>
      </c>
      <c r="Q287" s="22"/>
      <c r="R287" s="2"/>
      <c r="S287" s="2"/>
      <c r="T287" s="2"/>
      <c r="U287" s="34">
        <f t="shared" si="4"/>
        <v>0.95979999999999999</v>
      </c>
    </row>
    <row r="288" spans="1:21" x14ac:dyDescent="0.2">
      <c r="A288" s="18" t="s">
        <v>870</v>
      </c>
      <c r="B288" s="19" t="s">
        <v>871</v>
      </c>
      <c r="C288" s="19" t="s">
        <v>872</v>
      </c>
      <c r="D288" s="20">
        <v>0.48348000000000002</v>
      </c>
      <c r="E288" s="20">
        <v>2.9279085304999999</v>
      </c>
      <c r="F288" s="1">
        <v>58.320485337393741</v>
      </c>
      <c r="G288" s="42"/>
      <c r="J288" s="44" t="s">
        <v>187</v>
      </c>
      <c r="K288" s="35">
        <v>0</v>
      </c>
      <c r="L288" s="35">
        <v>0.35520000000000002</v>
      </c>
      <c r="M288" s="35">
        <v>0.46050000000000002</v>
      </c>
      <c r="N288" s="21"/>
      <c r="Q288" s="22"/>
      <c r="R288" s="2"/>
      <c r="S288" s="2"/>
      <c r="T288" s="2"/>
      <c r="U288" s="34">
        <f t="shared" si="4"/>
        <v>0.46050000000000002</v>
      </c>
    </row>
    <row r="289" spans="1:21" x14ac:dyDescent="0.2">
      <c r="A289" s="18" t="s">
        <v>873</v>
      </c>
      <c r="B289" s="19" t="s">
        <v>874</v>
      </c>
      <c r="C289" s="19" t="s">
        <v>875</v>
      </c>
      <c r="D289" s="20">
        <v>5.8389696245000007</v>
      </c>
      <c r="E289" s="20">
        <v>4.7464442487499996</v>
      </c>
      <c r="F289" s="1">
        <v>1.0381849374066412</v>
      </c>
      <c r="G289" s="42"/>
      <c r="J289" s="44" t="s">
        <v>187</v>
      </c>
      <c r="K289" s="35">
        <v>0.1575</v>
      </c>
      <c r="L289" s="35">
        <v>2.8999999999999998E-3</v>
      </c>
      <c r="M289" s="35">
        <v>0</v>
      </c>
      <c r="N289" s="21"/>
      <c r="Q289" s="22"/>
      <c r="R289" s="2"/>
      <c r="S289" s="2"/>
      <c r="T289" s="2"/>
      <c r="U289" s="34">
        <f t="shared" si="4"/>
        <v>0.1575</v>
      </c>
    </row>
    <row r="290" spans="1:21" x14ac:dyDescent="0.2">
      <c r="A290" s="18" t="s">
        <v>876</v>
      </c>
      <c r="B290" s="19" t="s">
        <v>877</v>
      </c>
      <c r="C290" s="19" t="s">
        <v>878</v>
      </c>
      <c r="D290" s="20">
        <v>13.075865210750001</v>
      </c>
      <c r="E290" s="20">
        <v>9.4451380182499989</v>
      </c>
      <c r="F290" s="1">
        <v>0.89759739379923198</v>
      </c>
      <c r="G290" s="42" t="s">
        <v>187</v>
      </c>
      <c r="J290" s="44"/>
      <c r="K290" s="35">
        <v>0.94199999999999995</v>
      </c>
      <c r="L290" s="35">
        <v>1E-4</v>
      </c>
      <c r="M290" s="35">
        <v>0</v>
      </c>
      <c r="N290" s="21"/>
      <c r="Q290" s="22" t="s">
        <v>187</v>
      </c>
      <c r="R290" s="2"/>
      <c r="S290" s="2"/>
      <c r="T290" s="2"/>
      <c r="U290" s="34">
        <f t="shared" si="4"/>
        <v>0.94199999999999995</v>
      </c>
    </row>
    <row r="291" spans="1:21" x14ac:dyDescent="0.2">
      <c r="A291" s="18" t="s">
        <v>879</v>
      </c>
      <c r="B291" s="19" t="s">
        <v>880</v>
      </c>
      <c r="C291" s="19" t="s">
        <v>881</v>
      </c>
      <c r="D291" s="20">
        <v>2.3494032520000001</v>
      </c>
      <c r="E291" s="20">
        <v>3.2609404550000001</v>
      </c>
      <c r="F291" s="1">
        <v>13.178027472144473</v>
      </c>
      <c r="G291" s="42"/>
      <c r="J291" s="44" t="s">
        <v>187</v>
      </c>
      <c r="K291" s="35">
        <v>5.9999999999999995E-4</v>
      </c>
      <c r="L291" s="35">
        <v>3.0300000000000001E-2</v>
      </c>
      <c r="M291" s="35">
        <v>4.0000000000000002E-4</v>
      </c>
      <c r="N291" s="21"/>
      <c r="Q291" s="22"/>
      <c r="R291" s="2"/>
      <c r="S291" s="2"/>
      <c r="T291" s="2"/>
      <c r="U291" s="34">
        <f t="shared" si="4"/>
        <v>3.0300000000000001E-2</v>
      </c>
    </row>
    <row r="292" spans="1:21" x14ac:dyDescent="0.2">
      <c r="A292" s="18" t="s">
        <v>882</v>
      </c>
      <c r="B292" s="19" t="s">
        <v>883</v>
      </c>
      <c r="C292" s="19" t="s">
        <v>884</v>
      </c>
      <c r="D292" s="20">
        <v>11.16856718</v>
      </c>
      <c r="E292" s="20">
        <v>0.49441313199999998</v>
      </c>
      <c r="F292" s="1">
        <v>253.31712472718942</v>
      </c>
      <c r="G292" s="42"/>
      <c r="J292" s="44" t="s">
        <v>187</v>
      </c>
      <c r="K292" s="35">
        <v>0</v>
      </c>
      <c r="L292" s="35">
        <v>0</v>
      </c>
      <c r="M292" s="35">
        <v>0</v>
      </c>
      <c r="N292" s="21"/>
      <c r="Q292" s="22"/>
      <c r="R292" s="2"/>
      <c r="S292" s="2"/>
      <c r="T292" s="2"/>
      <c r="U292" s="34">
        <f t="shared" si="4"/>
        <v>0</v>
      </c>
    </row>
    <row r="293" spans="1:21" x14ac:dyDescent="0.2">
      <c r="A293" s="18" t="s">
        <v>885</v>
      </c>
      <c r="B293" s="19" t="s">
        <v>886</v>
      </c>
      <c r="C293" s="19" t="s">
        <v>887</v>
      </c>
      <c r="D293" s="20">
        <v>0.23855936999999999</v>
      </c>
      <c r="E293" s="20">
        <v>1.092736146</v>
      </c>
      <c r="F293" s="1">
        <v>0.42934217575670985</v>
      </c>
      <c r="G293" s="42"/>
      <c r="I293" s="43" t="s">
        <v>187</v>
      </c>
      <c r="J293" s="44"/>
      <c r="K293" s="35">
        <v>0</v>
      </c>
      <c r="L293" s="35">
        <v>1.6000000000000001E-3</v>
      </c>
      <c r="M293" s="35">
        <v>0.9012</v>
      </c>
      <c r="N293" s="21"/>
      <c r="O293" s="2" t="s">
        <v>187</v>
      </c>
      <c r="Q293" s="22"/>
      <c r="R293" s="2"/>
      <c r="S293" s="2"/>
      <c r="T293" s="2"/>
      <c r="U293" s="34">
        <f t="shared" si="4"/>
        <v>0.9012</v>
      </c>
    </row>
    <row r="294" spans="1:21" x14ac:dyDescent="0.2">
      <c r="A294" s="18" t="s">
        <v>888</v>
      </c>
      <c r="B294" s="19" t="s">
        <v>889</v>
      </c>
      <c r="C294" s="19" t="s">
        <v>890</v>
      </c>
      <c r="D294" s="20">
        <v>0.28215773649999998</v>
      </c>
      <c r="E294" s="20">
        <v>0.71196488250000001</v>
      </c>
      <c r="F294" s="1">
        <v>7.5504359084099502</v>
      </c>
      <c r="G294" s="42"/>
      <c r="I294" s="43" t="s">
        <v>187</v>
      </c>
      <c r="J294" s="44"/>
      <c r="K294" s="35">
        <v>0</v>
      </c>
      <c r="L294" s="35">
        <v>0</v>
      </c>
      <c r="M294" s="35">
        <v>0.95069999999999999</v>
      </c>
      <c r="N294" s="21"/>
      <c r="O294" s="2" t="s">
        <v>187</v>
      </c>
      <c r="Q294" s="22"/>
      <c r="R294" s="2"/>
      <c r="S294" s="2"/>
      <c r="T294" s="2"/>
      <c r="U294" s="34">
        <f t="shared" si="4"/>
        <v>0.95069999999999999</v>
      </c>
    </row>
    <row r="295" spans="1:21" x14ac:dyDescent="0.2">
      <c r="A295" s="18" t="s">
        <v>891</v>
      </c>
      <c r="B295" s="19" t="s">
        <v>892</v>
      </c>
      <c r="C295" s="19" t="s">
        <v>893</v>
      </c>
      <c r="D295" s="20">
        <v>0.37871472149999996</v>
      </c>
      <c r="E295" s="20">
        <v>6.5813298053333327</v>
      </c>
      <c r="F295" s="1">
        <v>1.2829602478517845</v>
      </c>
      <c r="G295" s="42"/>
      <c r="H295" s="43" t="s">
        <v>187</v>
      </c>
      <c r="J295" s="44"/>
      <c r="K295" s="35">
        <v>0</v>
      </c>
      <c r="L295" s="35">
        <v>0.93089999999999995</v>
      </c>
      <c r="M295" s="35">
        <v>2.2200000000000001E-2</v>
      </c>
      <c r="N295" s="21"/>
      <c r="O295" s="2" t="s">
        <v>187</v>
      </c>
      <c r="Q295" s="22"/>
      <c r="R295" s="2"/>
      <c r="S295" s="2"/>
      <c r="T295" s="2"/>
      <c r="U295" s="34">
        <f t="shared" si="4"/>
        <v>0.93089999999999995</v>
      </c>
    </row>
    <row r="296" spans="1:21" x14ac:dyDescent="0.2">
      <c r="A296" s="18" t="s">
        <v>894</v>
      </c>
      <c r="B296" s="19" t="s">
        <v>895</v>
      </c>
      <c r="C296" s="19" t="s">
        <v>896</v>
      </c>
      <c r="D296" s="20">
        <v>9.2906521125000001</v>
      </c>
      <c r="E296" s="20">
        <v>15.213927867499999</v>
      </c>
      <c r="F296" s="1">
        <v>33.344572757554211</v>
      </c>
      <c r="G296" s="42" t="s">
        <v>187</v>
      </c>
      <c r="J296" s="44"/>
      <c r="K296" s="35">
        <v>0.98280000000000001</v>
      </c>
      <c r="L296" s="35">
        <v>2.3999999999999998E-3</v>
      </c>
      <c r="M296" s="35">
        <v>0</v>
      </c>
      <c r="N296" s="21"/>
      <c r="P296" s="2" t="s">
        <v>187</v>
      </c>
      <c r="Q296" s="22"/>
      <c r="R296" s="2"/>
      <c r="S296" s="2"/>
      <c r="T296" s="2"/>
      <c r="U296" s="34">
        <f t="shared" si="4"/>
        <v>0.98280000000000001</v>
      </c>
    </row>
    <row r="297" spans="1:21" x14ac:dyDescent="0.2">
      <c r="A297" s="18" t="s">
        <v>897</v>
      </c>
      <c r="B297" s="19" t="s">
        <v>898</v>
      </c>
      <c r="C297" s="19" t="s">
        <v>899</v>
      </c>
      <c r="D297" s="20">
        <v>0.40404530133333333</v>
      </c>
      <c r="E297" s="20">
        <v>0.20546481999999999</v>
      </c>
      <c r="F297" s="1">
        <v>3.0053952302965037</v>
      </c>
      <c r="G297" s="42"/>
      <c r="I297" s="43" t="s">
        <v>187</v>
      </c>
      <c r="J297" s="44"/>
      <c r="K297" s="35">
        <v>0</v>
      </c>
      <c r="L297" s="35">
        <v>0</v>
      </c>
      <c r="M297" s="35">
        <v>0.96550000000000002</v>
      </c>
      <c r="N297" s="21" t="s">
        <v>187</v>
      </c>
      <c r="Q297" s="22"/>
      <c r="R297" s="2"/>
      <c r="S297" s="2"/>
      <c r="T297" s="2"/>
      <c r="U297" s="34">
        <f t="shared" si="4"/>
        <v>0.96550000000000002</v>
      </c>
    </row>
    <row r="298" spans="1:21" x14ac:dyDescent="0.2">
      <c r="A298" s="18" t="s">
        <v>900</v>
      </c>
      <c r="B298" s="19" t="s">
        <v>901</v>
      </c>
      <c r="C298" s="19" t="s">
        <v>902</v>
      </c>
      <c r="D298" s="20">
        <v>4.0338846310000003</v>
      </c>
      <c r="E298" s="20">
        <v>4.6769999999999996</v>
      </c>
      <c r="F298" s="1">
        <v>0</v>
      </c>
      <c r="G298" s="42"/>
      <c r="J298" s="44" t="s">
        <v>187</v>
      </c>
      <c r="K298" s="35">
        <v>8.2100000000000006E-2</v>
      </c>
      <c r="L298" s="35">
        <v>2.2800000000000001E-2</v>
      </c>
      <c r="M298" s="35">
        <v>0</v>
      </c>
      <c r="N298" s="21"/>
      <c r="Q298" s="22"/>
      <c r="R298" s="2"/>
      <c r="S298" s="2"/>
      <c r="T298" s="2"/>
      <c r="U298" s="34">
        <f t="shared" si="4"/>
        <v>8.2100000000000006E-2</v>
      </c>
    </row>
    <row r="299" spans="1:21" x14ac:dyDescent="0.2">
      <c r="A299" s="18" t="s">
        <v>903</v>
      </c>
      <c r="B299" s="19" t="s">
        <v>904</v>
      </c>
      <c r="C299" s="19" t="s">
        <v>905</v>
      </c>
      <c r="D299" s="20">
        <v>7.6781210533333324</v>
      </c>
      <c r="E299" s="20">
        <v>7.7893184833333322</v>
      </c>
      <c r="F299" s="1" t="s">
        <v>47</v>
      </c>
      <c r="G299" s="42" t="s">
        <v>187</v>
      </c>
      <c r="J299" s="44"/>
      <c r="K299" s="35">
        <v>0.876</v>
      </c>
      <c r="L299" s="35">
        <v>2.2000000000000001E-3</v>
      </c>
      <c r="M299" s="35">
        <v>0</v>
      </c>
      <c r="N299" s="21"/>
      <c r="Q299" s="22" t="s">
        <v>187</v>
      </c>
      <c r="R299" s="2"/>
      <c r="S299" s="2"/>
      <c r="T299" s="2"/>
      <c r="U299" s="34">
        <f t="shared" si="4"/>
        <v>0.876</v>
      </c>
    </row>
    <row r="300" spans="1:21" x14ac:dyDescent="0.2">
      <c r="A300" s="18" t="s">
        <v>906</v>
      </c>
      <c r="B300" s="19" t="s">
        <v>907</v>
      </c>
      <c r="C300" s="19" t="s">
        <v>908</v>
      </c>
      <c r="D300" s="20">
        <v>10.040869377</v>
      </c>
      <c r="E300" s="20">
        <v>3.5175999999999998</v>
      </c>
      <c r="F300" s="1">
        <v>5.6982293566441955</v>
      </c>
      <c r="G300" s="42"/>
      <c r="J300" s="44" t="s">
        <v>187</v>
      </c>
      <c r="K300" s="35">
        <v>1.1299999999999999E-2</v>
      </c>
      <c r="L300" s="35">
        <v>0</v>
      </c>
      <c r="M300" s="35">
        <v>0</v>
      </c>
      <c r="N300" s="21"/>
      <c r="Q300" s="22"/>
      <c r="R300" s="2"/>
      <c r="S300" s="2"/>
      <c r="T300" s="2"/>
      <c r="U300" s="34">
        <f t="shared" si="4"/>
        <v>1.1299999999999999E-2</v>
      </c>
    </row>
    <row r="301" spans="1:21" x14ac:dyDescent="0.2">
      <c r="A301" s="18" t="s">
        <v>909</v>
      </c>
      <c r="B301" s="19" t="s">
        <v>910</v>
      </c>
      <c r="C301" s="19" t="s">
        <v>911</v>
      </c>
      <c r="D301" s="20">
        <v>0.98025464000000007</v>
      </c>
      <c r="E301" s="20">
        <v>6.497541751</v>
      </c>
      <c r="F301" s="1">
        <v>5.3817437253704927</v>
      </c>
      <c r="G301" s="42"/>
      <c r="H301" s="43" t="s">
        <v>187</v>
      </c>
      <c r="J301" s="44"/>
      <c r="K301" s="35">
        <v>1E-4</v>
      </c>
      <c r="L301" s="35">
        <v>0.92979999999999996</v>
      </c>
      <c r="M301" s="35">
        <v>3.8999999999999998E-3</v>
      </c>
      <c r="N301" s="21"/>
      <c r="O301" s="2" t="s">
        <v>187</v>
      </c>
      <c r="Q301" s="22"/>
      <c r="R301" s="2"/>
      <c r="S301" s="2"/>
      <c r="T301" s="2"/>
      <c r="U301" s="34">
        <f t="shared" si="4"/>
        <v>0.92979999999999996</v>
      </c>
    </row>
    <row r="302" spans="1:21" x14ac:dyDescent="0.2">
      <c r="A302" s="18" t="s">
        <v>912</v>
      </c>
      <c r="B302" s="19" t="s">
        <v>913</v>
      </c>
      <c r="C302" s="19" t="s">
        <v>914</v>
      </c>
      <c r="D302" s="20">
        <v>10.39474161575</v>
      </c>
      <c r="E302" s="20">
        <v>13.846507082500001</v>
      </c>
      <c r="F302" s="1">
        <v>3.0368675039809241</v>
      </c>
      <c r="G302" s="42" t="s">
        <v>187</v>
      </c>
      <c r="J302" s="44"/>
      <c r="K302" s="35">
        <v>0.98240000000000005</v>
      </c>
      <c r="L302" s="35">
        <v>1E-3</v>
      </c>
      <c r="M302" s="35">
        <v>0</v>
      </c>
      <c r="N302" s="21"/>
      <c r="Q302" s="22" t="s">
        <v>187</v>
      </c>
      <c r="R302" s="2"/>
      <c r="S302" s="2"/>
      <c r="T302" s="2"/>
      <c r="U302" s="34">
        <f t="shared" si="4"/>
        <v>0.98240000000000005</v>
      </c>
    </row>
    <row r="303" spans="1:21" x14ac:dyDescent="0.2">
      <c r="A303" s="18" t="s">
        <v>915</v>
      </c>
      <c r="B303" s="19" t="s">
        <v>916</v>
      </c>
      <c r="C303" s="19" t="s">
        <v>917</v>
      </c>
      <c r="D303" s="20">
        <v>9.5936019249999998</v>
      </c>
      <c r="E303" s="20">
        <v>20.340337814999998</v>
      </c>
      <c r="F303" s="1">
        <v>0.28639584480202324</v>
      </c>
      <c r="G303" s="42" t="s">
        <v>187</v>
      </c>
      <c r="J303" s="44"/>
      <c r="K303" s="35">
        <v>0.98089999999999999</v>
      </c>
      <c r="L303" s="35">
        <v>5.0000000000000001E-3</v>
      </c>
      <c r="M303" s="35">
        <v>0</v>
      </c>
      <c r="N303" s="21"/>
      <c r="Q303" s="22" t="s">
        <v>187</v>
      </c>
      <c r="R303" s="2"/>
      <c r="S303" s="2"/>
      <c r="T303" s="2"/>
      <c r="U303" s="34">
        <f t="shared" si="4"/>
        <v>0.98089999999999999</v>
      </c>
    </row>
    <row r="304" spans="1:21" x14ac:dyDescent="0.2">
      <c r="A304" s="18" t="s">
        <v>918</v>
      </c>
      <c r="B304" s="19" t="s">
        <v>919</v>
      </c>
      <c r="C304" s="19" t="s">
        <v>920</v>
      </c>
      <c r="D304" s="20">
        <v>0.33513198299999997</v>
      </c>
      <c r="E304" s="20">
        <v>0.56149128325000008</v>
      </c>
      <c r="F304" s="1">
        <v>6.9904452452032055</v>
      </c>
      <c r="G304" s="42"/>
      <c r="I304" s="43" t="s">
        <v>187</v>
      </c>
      <c r="J304" s="44"/>
      <c r="K304" s="35">
        <v>0</v>
      </c>
      <c r="L304" s="35">
        <v>0</v>
      </c>
      <c r="M304" s="35">
        <v>0.96189999999999998</v>
      </c>
      <c r="N304" s="21" t="s">
        <v>187</v>
      </c>
      <c r="Q304" s="22"/>
      <c r="R304" s="2"/>
      <c r="S304" s="2"/>
      <c r="T304" s="2"/>
      <c r="U304" s="34">
        <f t="shared" si="4"/>
        <v>0.96189999999999998</v>
      </c>
    </row>
    <row r="305" spans="1:21" x14ac:dyDescent="0.2">
      <c r="A305" s="18" t="s">
        <v>921</v>
      </c>
      <c r="B305" s="19" t="s">
        <v>922</v>
      </c>
      <c r="C305" s="19" t="s">
        <v>923</v>
      </c>
      <c r="D305" s="20">
        <v>3.5819648219999998</v>
      </c>
      <c r="E305" s="20">
        <v>2.4648500000000002</v>
      </c>
      <c r="F305" s="1">
        <v>0</v>
      </c>
      <c r="G305" s="42"/>
      <c r="J305" s="44" t="s">
        <v>187</v>
      </c>
      <c r="K305" s="35">
        <v>1E-4</v>
      </c>
      <c r="L305" s="35">
        <v>2.9999999999999997E-4</v>
      </c>
      <c r="M305" s="35">
        <v>0</v>
      </c>
      <c r="N305" s="21"/>
      <c r="Q305" s="22"/>
      <c r="R305" s="2"/>
      <c r="S305" s="2"/>
      <c r="T305" s="2"/>
      <c r="U305" s="34">
        <f t="shared" si="4"/>
        <v>2.9999999999999997E-4</v>
      </c>
    </row>
    <row r="306" spans="1:21" x14ac:dyDescent="0.2">
      <c r="A306" s="18" t="s">
        <v>924</v>
      </c>
      <c r="B306" s="19" t="s">
        <v>925</v>
      </c>
      <c r="C306" s="19" t="s">
        <v>926</v>
      </c>
      <c r="D306" s="20">
        <v>0.90798749400000001</v>
      </c>
      <c r="E306" s="20">
        <v>11.108057259999999</v>
      </c>
      <c r="F306" s="1">
        <v>11.79618827430334</v>
      </c>
      <c r="G306" s="42"/>
      <c r="H306" s="43" t="s">
        <v>187</v>
      </c>
      <c r="J306" s="44"/>
      <c r="K306" s="35">
        <v>2.0000000000000001E-4</v>
      </c>
      <c r="L306" s="35">
        <v>0.97319999999999995</v>
      </c>
      <c r="M306" s="35">
        <v>5.9999999999999995E-4</v>
      </c>
      <c r="N306" s="21" t="s">
        <v>187</v>
      </c>
      <c r="Q306" s="22"/>
      <c r="R306" s="2"/>
      <c r="S306" s="2"/>
      <c r="T306" s="2"/>
      <c r="U306" s="34">
        <f t="shared" si="4"/>
        <v>0.97319999999999995</v>
      </c>
    </row>
    <row r="307" spans="1:21" x14ac:dyDescent="0.2">
      <c r="A307" s="18" t="s">
        <v>927</v>
      </c>
      <c r="B307" s="19" t="s">
        <v>928</v>
      </c>
      <c r="C307" s="19" t="s">
        <v>929</v>
      </c>
      <c r="D307" s="20">
        <v>0.25930167700000001</v>
      </c>
      <c r="E307" s="20">
        <v>4.8655321735000001</v>
      </c>
      <c r="F307" s="1">
        <v>0</v>
      </c>
      <c r="G307" s="42"/>
      <c r="H307" s="43" t="s">
        <v>187</v>
      </c>
      <c r="J307" s="44"/>
      <c r="K307" s="35">
        <v>0</v>
      </c>
      <c r="L307" s="35">
        <v>0.85499999999999998</v>
      </c>
      <c r="M307" s="35">
        <v>5.6800000000000003E-2</v>
      </c>
      <c r="N307" s="21"/>
      <c r="O307" s="2" t="s">
        <v>187</v>
      </c>
      <c r="Q307" s="22"/>
      <c r="R307" s="2"/>
      <c r="S307" s="2"/>
      <c r="T307" s="2"/>
      <c r="U307" s="34">
        <f t="shared" si="4"/>
        <v>0.85499999999999998</v>
      </c>
    </row>
    <row r="308" spans="1:21" x14ac:dyDescent="0.2">
      <c r="A308" s="18" t="s">
        <v>930</v>
      </c>
      <c r="B308" s="19" t="s">
        <v>931</v>
      </c>
      <c r="C308" s="19" t="s">
        <v>932</v>
      </c>
      <c r="D308" s="20">
        <v>5.7441181239999999</v>
      </c>
      <c r="E308" s="20">
        <v>3.81</v>
      </c>
      <c r="F308" s="1">
        <v>7.1227866958088786</v>
      </c>
      <c r="G308" s="42"/>
      <c r="J308" s="44" t="s">
        <v>187</v>
      </c>
      <c r="K308" s="35">
        <v>2.3800000000000002E-2</v>
      </c>
      <c r="L308" s="35">
        <v>6.9999999999999999E-4</v>
      </c>
      <c r="M308" s="35">
        <v>0</v>
      </c>
      <c r="N308" s="21"/>
      <c r="Q308" s="22"/>
      <c r="R308" s="2"/>
      <c r="S308" s="2"/>
      <c r="T308" s="2"/>
      <c r="U308" s="34">
        <f t="shared" si="4"/>
        <v>2.3800000000000002E-2</v>
      </c>
    </row>
    <row r="309" spans="1:21" x14ac:dyDescent="0.2">
      <c r="A309" s="18" t="s">
        <v>933</v>
      </c>
      <c r="B309" s="19" t="s">
        <v>934</v>
      </c>
      <c r="C309" s="19" t="s">
        <v>935</v>
      </c>
      <c r="D309" s="20">
        <v>1.7358503369999998</v>
      </c>
      <c r="E309" s="20">
        <v>3.2256613185000003</v>
      </c>
      <c r="F309" s="1">
        <v>3.7884643329910039</v>
      </c>
      <c r="G309" s="42"/>
      <c r="J309" s="44" t="s">
        <v>187</v>
      </c>
      <c r="K309" s="35">
        <v>2.0000000000000001E-4</v>
      </c>
      <c r="L309" s="35">
        <v>9.7699999999999995E-2</v>
      </c>
      <c r="M309" s="35">
        <v>5.1000000000000004E-3</v>
      </c>
      <c r="N309" s="21"/>
      <c r="Q309" s="22"/>
      <c r="R309" s="2"/>
      <c r="S309" s="2"/>
      <c r="T309" s="2"/>
      <c r="U309" s="34">
        <f t="shared" si="4"/>
        <v>9.7699999999999995E-2</v>
      </c>
    </row>
    <row r="310" spans="1:21" x14ac:dyDescent="0.2">
      <c r="A310" s="18" t="s">
        <v>936</v>
      </c>
      <c r="B310" s="19" t="s">
        <v>937</v>
      </c>
      <c r="C310" s="19" t="s">
        <v>938</v>
      </c>
      <c r="D310" s="20">
        <v>0.55414499024999997</v>
      </c>
      <c r="E310" s="20">
        <v>18.090594692250001</v>
      </c>
      <c r="F310" s="1">
        <v>0.54583359587872404</v>
      </c>
      <c r="G310" s="42"/>
      <c r="H310" s="43" t="s">
        <v>187</v>
      </c>
      <c r="J310" s="44"/>
      <c r="K310" s="35">
        <v>0</v>
      </c>
      <c r="L310" s="35">
        <v>0.9446</v>
      </c>
      <c r="M310" s="35">
        <v>1.1000000000000001E-3</v>
      </c>
      <c r="N310" s="21" t="s">
        <v>187</v>
      </c>
      <c r="O310" s="2" t="s">
        <v>187</v>
      </c>
      <c r="P310" s="2" t="s">
        <v>187</v>
      </c>
      <c r="Q310" s="22"/>
      <c r="R310" s="2"/>
      <c r="S310" s="2"/>
      <c r="T310" s="2"/>
      <c r="U310" s="34">
        <f t="shared" si="4"/>
        <v>0.9446</v>
      </c>
    </row>
    <row r="311" spans="1:21" x14ac:dyDescent="0.2">
      <c r="A311" s="18" t="s">
        <v>939</v>
      </c>
      <c r="B311" s="19" t="s">
        <v>940</v>
      </c>
      <c r="C311" s="19" t="s">
        <v>941</v>
      </c>
      <c r="D311" s="20">
        <v>2.3579934649999998</v>
      </c>
      <c r="E311" s="20">
        <v>6.8825387100000013</v>
      </c>
      <c r="F311" s="1">
        <v>25.846398980559318</v>
      </c>
      <c r="G311" s="42"/>
      <c r="J311" s="44" t="s">
        <v>187</v>
      </c>
      <c r="K311" s="35">
        <v>7.6899999999999996E-2</v>
      </c>
      <c r="L311" s="35">
        <v>0.62780000000000002</v>
      </c>
      <c r="M311" s="35">
        <v>0</v>
      </c>
      <c r="N311" s="21"/>
      <c r="Q311" s="22"/>
      <c r="R311" s="2"/>
      <c r="S311" s="2"/>
      <c r="T311" s="2"/>
      <c r="U311" s="34">
        <f t="shared" si="4"/>
        <v>0.62780000000000002</v>
      </c>
    </row>
    <row r="312" spans="1:21" x14ac:dyDescent="0.2">
      <c r="A312" s="18" t="s">
        <v>942</v>
      </c>
      <c r="B312" s="19" t="s">
        <v>943</v>
      </c>
      <c r="C312" s="19" t="s">
        <v>944</v>
      </c>
      <c r="D312" s="20">
        <v>15.06954595</v>
      </c>
      <c r="E312" s="23" t="s">
        <v>46</v>
      </c>
      <c r="F312" s="1" t="s">
        <v>47</v>
      </c>
      <c r="G312" s="24" t="s">
        <v>187</v>
      </c>
      <c r="J312" s="44"/>
      <c r="K312" s="35" t="e">
        <v>#N/A</v>
      </c>
      <c r="L312" s="35" t="e">
        <v>#N/A</v>
      </c>
      <c r="M312" s="35" t="e">
        <v>#N/A</v>
      </c>
      <c r="N312" s="21"/>
      <c r="Q312" s="22" t="s">
        <v>187</v>
      </c>
      <c r="R312" s="2"/>
      <c r="S312" s="2"/>
      <c r="T312" s="2"/>
      <c r="U312" s="34" t="e">
        <f t="shared" si="4"/>
        <v>#N/A</v>
      </c>
    </row>
    <row r="313" spans="1:21" x14ac:dyDescent="0.2">
      <c r="A313" s="18" t="s">
        <v>945</v>
      </c>
      <c r="B313" s="19" t="s">
        <v>946</v>
      </c>
      <c r="C313" s="19" t="s">
        <v>947</v>
      </c>
      <c r="D313" s="20">
        <v>10.0234914725</v>
      </c>
      <c r="E313" s="20">
        <v>4.6590999999999996</v>
      </c>
      <c r="F313" s="1">
        <v>0.50384567096189892</v>
      </c>
      <c r="G313" s="42"/>
      <c r="J313" s="44" t="s">
        <v>187</v>
      </c>
      <c r="K313" s="35">
        <v>0.15359999999999999</v>
      </c>
      <c r="L313" s="35">
        <v>1E-4</v>
      </c>
      <c r="M313" s="35">
        <v>0</v>
      </c>
      <c r="N313" s="21"/>
      <c r="Q313" s="22"/>
      <c r="R313" s="2"/>
      <c r="S313" s="2"/>
      <c r="T313" s="2"/>
      <c r="U313" s="34">
        <f t="shared" si="4"/>
        <v>0.15359999999999999</v>
      </c>
    </row>
    <row r="314" spans="1:21" x14ac:dyDescent="0.2">
      <c r="A314" s="18" t="s">
        <v>948</v>
      </c>
      <c r="B314" s="19" t="s">
        <v>949</v>
      </c>
      <c r="C314" s="19" t="s">
        <v>950</v>
      </c>
      <c r="D314" s="20">
        <v>2.2763868309999999</v>
      </c>
      <c r="E314" s="20">
        <v>3.6252319720000004</v>
      </c>
      <c r="F314" s="1" t="s">
        <v>47</v>
      </c>
      <c r="G314" s="42"/>
      <c r="J314" s="44" t="s">
        <v>187</v>
      </c>
      <c r="K314" s="35">
        <v>1.6000000000000001E-3</v>
      </c>
      <c r="L314" s="35">
        <v>6.9400000000000003E-2</v>
      </c>
      <c r="M314" s="35">
        <v>4.0000000000000002E-4</v>
      </c>
      <c r="N314" s="21"/>
      <c r="Q314" s="22"/>
      <c r="R314" s="2"/>
      <c r="S314" s="2"/>
      <c r="T314" s="2"/>
      <c r="U314" s="34">
        <f t="shared" si="4"/>
        <v>6.9400000000000003E-2</v>
      </c>
    </row>
    <row r="315" spans="1:21" x14ac:dyDescent="0.2">
      <c r="A315" s="18" t="s">
        <v>951</v>
      </c>
      <c r="B315" s="19" t="s">
        <v>952</v>
      </c>
      <c r="C315" s="19" t="s">
        <v>953</v>
      </c>
      <c r="D315" s="20">
        <v>2.5385360229999998</v>
      </c>
      <c r="E315" s="20">
        <v>10.698431163333334</v>
      </c>
      <c r="F315" s="1">
        <v>0.10349507164174902</v>
      </c>
      <c r="G315" s="42"/>
      <c r="H315" s="43" t="s">
        <v>187</v>
      </c>
      <c r="J315" s="44"/>
      <c r="K315" s="35">
        <v>0.19489999999999999</v>
      </c>
      <c r="L315" s="35">
        <v>0.71319999999999995</v>
      </c>
      <c r="M315" s="35">
        <v>0</v>
      </c>
      <c r="N315" s="21"/>
      <c r="O315" s="2" t="s">
        <v>187</v>
      </c>
      <c r="Q315" s="22"/>
      <c r="R315" s="2"/>
      <c r="S315" s="2"/>
      <c r="T315" s="2"/>
      <c r="U315" s="34">
        <f t="shared" si="4"/>
        <v>0.71319999999999995</v>
      </c>
    </row>
    <row r="316" spans="1:21" x14ac:dyDescent="0.2">
      <c r="A316" s="18" t="s">
        <v>954</v>
      </c>
      <c r="B316" s="19" t="s">
        <v>955</v>
      </c>
      <c r="C316" s="19" t="s">
        <v>956</v>
      </c>
      <c r="D316" s="20">
        <v>0.47558248024999999</v>
      </c>
      <c r="E316" s="20">
        <v>4.8917858024999994</v>
      </c>
      <c r="F316" s="1">
        <v>0.46141552773612987</v>
      </c>
      <c r="G316" s="42"/>
      <c r="H316" s="43" t="s">
        <v>187</v>
      </c>
      <c r="J316" s="44"/>
      <c r="K316" s="35">
        <v>0</v>
      </c>
      <c r="L316" s="35">
        <v>0.86670000000000003</v>
      </c>
      <c r="M316" s="35">
        <v>6.2799999999999995E-2</v>
      </c>
      <c r="N316" s="21"/>
      <c r="O316" s="2" t="s">
        <v>187</v>
      </c>
      <c r="Q316" s="22"/>
      <c r="R316" s="2"/>
      <c r="S316" s="2"/>
      <c r="T316" s="2"/>
      <c r="U316" s="34">
        <f t="shared" si="4"/>
        <v>0.86670000000000003</v>
      </c>
    </row>
    <row r="317" spans="1:21" x14ac:dyDescent="0.2">
      <c r="A317" s="18" t="s">
        <v>957</v>
      </c>
      <c r="B317" s="19" t="s">
        <v>958</v>
      </c>
      <c r="C317" s="19" t="s">
        <v>959</v>
      </c>
      <c r="D317" s="20">
        <v>1.33267651825</v>
      </c>
      <c r="E317" s="20">
        <v>19.890533559999998</v>
      </c>
      <c r="F317" s="1">
        <v>0.48263003475854555</v>
      </c>
      <c r="G317" s="42"/>
      <c r="H317" s="43" t="s">
        <v>187</v>
      </c>
      <c r="J317" s="44"/>
      <c r="K317" s="35">
        <v>3.0999999999999999E-3</v>
      </c>
      <c r="L317" s="35">
        <v>0.96650000000000003</v>
      </c>
      <c r="M317" s="35">
        <v>0</v>
      </c>
      <c r="N317" s="21"/>
      <c r="O317" s="2" t="s">
        <v>187</v>
      </c>
      <c r="Q317" s="22"/>
      <c r="R317" s="2"/>
      <c r="S317" s="2"/>
      <c r="T317" s="2"/>
      <c r="U317" s="34">
        <f t="shared" si="4"/>
        <v>0.96650000000000003</v>
      </c>
    </row>
    <row r="318" spans="1:21" x14ac:dyDescent="0.2">
      <c r="A318" s="18" t="s">
        <v>960</v>
      </c>
      <c r="B318" s="19" t="s">
        <v>961</v>
      </c>
      <c r="C318" s="19" t="s">
        <v>962</v>
      </c>
      <c r="D318" s="20">
        <v>3.3067774939999999</v>
      </c>
      <c r="E318" s="20">
        <v>12.7227901515</v>
      </c>
      <c r="F318" s="1">
        <v>17.995205581705022</v>
      </c>
      <c r="G318" s="42" t="s">
        <v>187</v>
      </c>
      <c r="J318" s="44"/>
      <c r="K318" s="35">
        <v>0.5454</v>
      </c>
      <c r="L318" s="35">
        <v>0.38719999999999999</v>
      </c>
      <c r="M318" s="35">
        <v>0</v>
      </c>
      <c r="N318" s="21"/>
      <c r="Q318" s="22" t="s">
        <v>187</v>
      </c>
      <c r="R318" s="2"/>
      <c r="S318" s="2"/>
      <c r="T318" s="2"/>
      <c r="U318" s="34">
        <f t="shared" si="4"/>
        <v>0.5454</v>
      </c>
    </row>
    <row r="319" spans="1:21" x14ac:dyDescent="0.2">
      <c r="A319" s="18" t="s">
        <v>963</v>
      </c>
      <c r="B319" s="19" t="s">
        <v>964</v>
      </c>
      <c r="C319" s="19" t="s">
        <v>965</v>
      </c>
      <c r="D319" s="20">
        <v>4.2039138782499998</v>
      </c>
      <c r="E319" s="20">
        <v>9.2308545627500003</v>
      </c>
      <c r="F319" s="1">
        <v>0</v>
      </c>
      <c r="G319" s="42" t="s">
        <v>187</v>
      </c>
      <c r="J319" s="44"/>
      <c r="K319" s="35">
        <v>0.78049999999999997</v>
      </c>
      <c r="L319" s="35">
        <v>0.1008</v>
      </c>
      <c r="M319" s="35">
        <v>0</v>
      </c>
      <c r="N319" s="21"/>
      <c r="Q319" s="22" t="s">
        <v>187</v>
      </c>
      <c r="R319" s="2"/>
      <c r="S319" s="2"/>
      <c r="T319" s="2"/>
      <c r="U319" s="34">
        <f t="shared" si="4"/>
        <v>0.78049999999999997</v>
      </c>
    </row>
    <row r="320" spans="1:21" x14ac:dyDescent="0.2">
      <c r="A320" s="18" t="s">
        <v>966</v>
      </c>
      <c r="B320" s="19" t="s">
        <v>967</v>
      </c>
      <c r="C320" s="19" t="s">
        <v>968</v>
      </c>
      <c r="D320" s="20">
        <v>1.3390546855000001</v>
      </c>
      <c r="E320" s="20">
        <v>3.8540943380000003</v>
      </c>
      <c r="F320" s="1">
        <v>1.5182059299700397</v>
      </c>
      <c r="G320" s="42"/>
      <c r="J320" s="44" t="s">
        <v>187</v>
      </c>
      <c r="K320" s="35">
        <v>1E-4</v>
      </c>
      <c r="L320" s="35">
        <v>0.43859999999999999</v>
      </c>
      <c r="M320" s="35">
        <v>1.55E-2</v>
      </c>
      <c r="N320" s="21"/>
      <c r="Q320" s="22"/>
      <c r="R320" s="2"/>
      <c r="S320" s="2"/>
      <c r="T320" s="2"/>
      <c r="U320" s="34">
        <f t="shared" si="4"/>
        <v>0.43859999999999999</v>
      </c>
    </row>
    <row r="321" spans="1:21" x14ac:dyDescent="0.2">
      <c r="A321" s="18" t="s">
        <v>969</v>
      </c>
      <c r="B321" s="19" t="s">
        <v>970</v>
      </c>
      <c r="C321" s="19" t="s">
        <v>971</v>
      </c>
      <c r="D321" s="20">
        <v>0.34350702975000003</v>
      </c>
      <c r="E321" s="20">
        <v>5.1139985164999997</v>
      </c>
      <c r="F321" s="1">
        <v>1.3760557750237221</v>
      </c>
      <c r="G321" s="42"/>
      <c r="H321" s="43" t="s">
        <v>187</v>
      </c>
      <c r="J321" s="44"/>
      <c r="K321" s="35">
        <v>0</v>
      </c>
      <c r="L321" s="35">
        <v>0.87649999999999995</v>
      </c>
      <c r="M321" s="35">
        <v>5.67E-2</v>
      </c>
      <c r="N321" s="21" t="s">
        <v>187</v>
      </c>
      <c r="Q321" s="22"/>
      <c r="R321" s="2"/>
      <c r="S321" s="2"/>
      <c r="T321" s="2"/>
      <c r="U321" s="34">
        <f t="shared" si="4"/>
        <v>0.87649999999999995</v>
      </c>
    </row>
    <row r="322" spans="1:21" x14ac:dyDescent="0.2">
      <c r="A322" s="18" t="s">
        <v>972</v>
      </c>
      <c r="B322" s="19" t="s">
        <v>973</v>
      </c>
      <c r="C322" s="19" t="s">
        <v>974</v>
      </c>
      <c r="D322" s="20">
        <v>3.5957336570000002</v>
      </c>
      <c r="E322" s="20">
        <v>0.80541754166666679</v>
      </c>
      <c r="F322" s="1">
        <v>5.9984018605775358</v>
      </c>
      <c r="G322" s="42"/>
      <c r="J322" s="44" t="s">
        <v>187</v>
      </c>
      <c r="K322" s="35">
        <v>0</v>
      </c>
      <c r="L322" s="35">
        <v>0</v>
      </c>
      <c r="M322" s="35">
        <v>0</v>
      </c>
      <c r="N322" s="21"/>
      <c r="P322" s="2" t="s">
        <v>187</v>
      </c>
      <c r="Q322" s="22"/>
      <c r="R322" s="2"/>
      <c r="S322" s="2"/>
      <c r="T322" s="2"/>
      <c r="U322" s="34">
        <f t="shared" ref="U322:U385" si="5">MAX(K322:M322)</f>
        <v>0</v>
      </c>
    </row>
    <row r="323" spans="1:21" x14ac:dyDescent="0.2">
      <c r="A323" s="18" t="s">
        <v>975</v>
      </c>
      <c r="B323" s="19" t="s">
        <v>976</v>
      </c>
      <c r="C323" s="19" t="s">
        <v>977</v>
      </c>
      <c r="D323" s="20">
        <v>0.26878107800000001</v>
      </c>
      <c r="E323" s="20">
        <v>6.4554999999999998</v>
      </c>
      <c r="F323" s="1">
        <v>0</v>
      </c>
      <c r="G323" s="42"/>
      <c r="H323" s="43" t="s">
        <v>187</v>
      </c>
      <c r="J323" s="44"/>
      <c r="K323" s="35">
        <v>0</v>
      </c>
      <c r="L323" s="35">
        <v>0.90869999999999995</v>
      </c>
      <c r="M323" s="35">
        <v>2.2800000000000001E-2</v>
      </c>
      <c r="N323" s="21"/>
      <c r="O323" s="2" t="s">
        <v>187</v>
      </c>
      <c r="Q323" s="22"/>
      <c r="R323" s="2"/>
      <c r="S323" s="2"/>
      <c r="T323" s="2"/>
      <c r="U323" s="34">
        <f t="shared" si="5"/>
        <v>0.90869999999999995</v>
      </c>
    </row>
    <row r="324" spans="1:21" x14ac:dyDescent="0.2">
      <c r="A324" s="18" t="s">
        <v>978</v>
      </c>
      <c r="B324" s="19" t="s">
        <v>979</v>
      </c>
      <c r="C324" s="19" t="s">
        <v>980</v>
      </c>
      <c r="D324" s="20">
        <v>11.4538786725</v>
      </c>
      <c r="E324" s="20">
        <v>9.5628009777499994</v>
      </c>
      <c r="F324" s="1">
        <v>1.1328028175744957</v>
      </c>
      <c r="G324" s="42" t="s">
        <v>187</v>
      </c>
      <c r="J324" s="44"/>
      <c r="K324" s="35">
        <v>0.94979999999999998</v>
      </c>
      <c r="L324" s="35">
        <v>2.9999999999999997E-4</v>
      </c>
      <c r="M324" s="35">
        <v>0</v>
      </c>
      <c r="N324" s="21"/>
      <c r="Q324" s="22" t="s">
        <v>187</v>
      </c>
      <c r="R324" s="2"/>
      <c r="S324" s="2"/>
      <c r="T324" s="2"/>
      <c r="U324" s="34">
        <f t="shared" si="5"/>
        <v>0.94979999999999998</v>
      </c>
    </row>
    <row r="325" spans="1:21" x14ac:dyDescent="0.2">
      <c r="A325" s="18" t="s">
        <v>981</v>
      </c>
      <c r="B325" s="19" t="s">
        <v>982</v>
      </c>
      <c r="C325" s="19" t="s">
        <v>983</v>
      </c>
      <c r="D325" s="20">
        <v>2.4910533897499998</v>
      </c>
      <c r="E325" s="20">
        <v>7.9326768864999995</v>
      </c>
      <c r="F325" s="1">
        <v>0.32958251981170711</v>
      </c>
      <c r="G325" s="42"/>
      <c r="J325" s="44" t="s">
        <v>187</v>
      </c>
      <c r="K325" s="35">
        <v>0.13830000000000001</v>
      </c>
      <c r="L325" s="35">
        <v>0.65339999999999998</v>
      </c>
      <c r="M325" s="35">
        <v>0</v>
      </c>
      <c r="N325" s="21"/>
      <c r="Q325" s="22"/>
      <c r="R325" s="2"/>
      <c r="S325" s="2"/>
      <c r="T325" s="2"/>
      <c r="U325" s="34">
        <f t="shared" si="5"/>
        <v>0.65339999999999998</v>
      </c>
    </row>
    <row r="326" spans="1:21" x14ac:dyDescent="0.2">
      <c r="A326" s="18" t="s">
        <v>984</v>
      </c>
      <c r="B326" s="19" t="s">
        <v>985</v>
      </c>
      <c r="C326" s="19" t="s">
        <v>986</v>
      </c>
      <c r="D326" s="20">
        <v>4.3178719404999999</v>
      </c>
      <c r="E326" s="20">
        <v>2.204682746</v>
      </c>
      <c r="F326" s="1">
        <v>8.6194735204932353</v>
      </c>
      <c r="G326" s="42"/>
      <c r="J326" s="44" t="s">
        <v>187</v>
      </c>
      <c r="K326" s="35">
        <v>0</v>
      </c>
      <c r="L326" s="35">
        <v>0</v>
      </c>
      <c r="M326" s="35">
        <v>0</v>
      </c>
      <c r="N326" s="21"/>
      <c r="Q326" s="22"/>
      <c r="R326" s="2"/>
      <c r="S326" s="2"/>
      <c r="T326" s="2"/>
      <c r="U326" s="34">
        <f t="shared" si="5"/>
        <v>0</v>
      </c>
    </row>
    <row r="327" spans="1:21" x14ac:dyDescent="0.2">
      <c r="A327" s="18" t="s">
        <v>987</v>
      </c>
      <c r="B327" s="19" t="s">
        <v>988</v>
      </c>
      <c r="C327" s="19" t="s">
        <v>989</v>
      </c>
      <c r="D327" s="20">
        <v>18.2893101075</v>
      </c>
      <c r="E327" s="20">
        <v>29.427651837499997</v>
      </c>
      <c r="F327" s="1">
        <v>0.88903724217477664</v>
      </c>
      <c r="G327" s="42" t="s">
        <v>187</v>
      </c>
      <c r="J327" s="44"/>
      <c r="K327" s="35">
        <v>0.96050000000000002</v>
      </c>
      <c r="L327" s="35">
        <v>1.4E-3</v>
      </c>
      <c r="M327" s="35">
        <v>0</v>
      </c>
      <c r="N327" s="21"/>
      <c r="Q327" s="22" t="s">
        <v>187</v>
      </c>
      <c r="R327" s="2"/>
      <c r="S327" s="2"/>
      <c r="T327" s="2"/>
      <c r="U327" s="34">
        <f t="shared" si="5"/>
        <v>0.96050000000000002</v>
      </c>
    </row>
    <row r="328" spans="1:21" x14ac:dyDescent="0.2">
      <c r="A328" s="18" t="s">
        <v>990</v>
      </c>
      <c r="B328" s="19" t="s">
        <v>991</v>
      </c>
      <c r="C328" s="19" t="s">
        <v>992</v>
      </c>
      <c r="D328" s="20">
        <v>0.54513999999999996</v>
      </c>
      <c r="E328" s="20">
        <v>1.8946863309999999</v>
      </c>
      <c r="F328" s="1">
        <v>177.49005545778778</v>
      </c>
      <c r="G328" s="42"/>
      <c r="I328" s="43" t="s">
        <v>187</v>
      </c>
      <c r="J328" s="44"/>
      <c r="K328" s="35">
        <v>0</v>
      </c>
      <c r="L328" s="35">
        <v>2.5999999999999999E-2</v>
      </c>
      <c r="M328" s="35">
        <v>0.7853</v>
      </c>
      <c r="N328" s="21"/>
      <c r="O328" s="2" t="s">
        <v>187</v>
      </c>
      <c r="Q328" s="22"/>
      <c r="R328" s="2"/>
      <c r="S328" s="2"/>
      <c r="T328" s="2"/>
      <c r="U328" s="34">
        <f t="shared" si="5"/>
        <v>0.7853</v>
      </c>
    </row>
    <row r="329" spans="1:21" x14ac:dyDescent="0.2">
      <c r="A329" s="18" t="s">
        <v>993</v>
      </c>
      <c r="B329" s="19" t="s">
        <v>994</v>
      </c>
      <c r="C329" s="19" t="s">
        <v>995</v>
      </c>
      <c r="D329" s="20">
        <v>2.6698943026666666</v>
      </c>
      <c r="E329" s="20">
        <v>4.7324109947500004</v>
      </c>
      <c r="F329" s="1">
        <v>450.62896083144375</v>
      </c>
      <c r="G329" s="42"/>
      <c r="J329" s="44" t="s">
        <v>187</v>
      </c>
      <c r="K329" s="35">
        <v>2.6200000000000001E-2</v>
      </c>
      <c r="L329" s="35">
        <v>0.16109999999999999</v>
      </c>
      <c r="M329" s="35">
        <v>1E-4</v>
      </c>
      <c r="N329" s="21"/>
      <c r="Q329" s="22"/>
      <c r="R329" s="2"/>
      <c r="S329" s="2"/>
      <c r="T329" s="2"/>
      <c r="U329" s="34">
        <f t="shared" si="5"/>
        <v>0.16109999999999999</v>
      </c>
    </row>
    <row r="330" spans="1:21" x14ac:dyDescent="0.2">
      <c r="A330" s="18" t="s">
        <v>996</v>
      </c>
      <c r="B330" s="19" t="s">
        <v>997</v>
      </c>
      <c r="C330" s="19" t="s">
        <v>998</v>
      </c>
      <c r="D330" s="20">
        <v>1.38767529275</v>
      </c>
      <c r="E330" s="20">
        <v>2.9889873262499997</v>
      </c>
      <c r="F330" s="1">
        <v>480.86323684778176</v>
      </c>
      <c r="G330" s="42"/>
      <c r="J330" s="44" t="s">
        <v>187</v>
      </c>
      <c r="K330" s="35">
        <v>0</v>
      </c>
      <c r="L330" s="35">
        <v>0.13189999999999999</v>
      </c>
      <c r="M330" s="35">
        <v>2.8000000000000001E-2</v>
      </c>
      <c r="N330" s="21"/>
      <c r="Q330" s="22"/>
      <c r="R330" s="2"/>
      <c r="S330" s="2"/>
      <c r="T330" s="2"/>
      <c r="U330" s="34">
        <f t="shared" si="5"/>
        <v>0.13189999999999999</v>
      </c>
    </row>
    <row r="331" spans="1:21" x14ac:dyDescent="0.2">
      <c r="A331" s="18" t="s">
        <v>999</v>
      </c>
      <c r="B331" s="19" t="s">
        <v>1000</v>
      </c>
      <c r="C331" s="19" t="s">
        <v>1001</v>
      </c>
      <c r="D331" s="20">
        <v>4.8515124844999997</v>
      </c>
      <c r="E331" s="20">
        <v>24.814310537499999</v>
      </c>
      <c r="F331" s="1">
        <v>0.48676056898499698</v>
      </c>
      <c r="G331" s="42" t="s">
        <v>187</v>
      </c>
      <c r="J331" s="44"/>
      <c r="K331" s="35">
        <v>0.73809999999999998</v>
      </c>
      <c r="L331" s="35">
        <v>0.22159999999999999</v>
      </c>
      <c r="M331" s="35">
        <v>0</v>
      </c>
      <c r="N331" s="21"/>
      <c r="Q331" s="22" t="s">
        <v>187</v>
      </c>
      <c r="R331" s="2"/>
      <c r="S331" s="2"/>
      <c r="T331" s="2"/>
      <c r="U331" s="34">
        <f t="shared" si="5"/>
        <v>0.73809999999999998</v>
      </c>
    </row>
    <row r="332" spans="1:21" x14ac:dyDescent="0.2">
      <c r="A332" s="18" t="s">
        <v>1002</v>
      </c>
      <c r="B332" s="19" t="s">
        <v>1003</v>
      </c>
      <c r="C332" s="19" t="s">
        <v>1004</v>
      </c>
      <c r="D332" s="20">
        <v>2.2357184729999999</v>
      </c>
      <c r="E332" s="20">
        <v>15.44959214</v>
      </c>
      <c r="F332" s="1">
        <v>0.84011017961155532</v>
      </c>
      <c r="G332" s="42"/>
      <c r="H332" s="43" t="s">
        <v>187</v>
      </c>
      <c r="J332" s="44"/>
      <c r="K332" s="35">
        <v>8.9200000000000002E-2</v>
      </c>
      <c r="L332" s="35">
        <v>0.86750000000000005</v>
      </c>
      <c r="M332" s="35">
        <v>0</v>
      </c>
      <c r="N332" s="21"/>
      <c r="O332" s="2" t="s">
        <v>187</v>
      </c>
      <c r="Q332" s="22"/>
      <c r="R332" s="2"/>
      <c r="S332" s="2"/>
      <c r="T332" s="2"/>
      <c r="U332" s="34">
        <f t="shared" si="5"/>
        <v>0.86750000000000005</v>
      </c>
    </row>
    <row r="333" spans="1:21" x14ac:dyDescent="0.2">
      <c r="A333" s="18" t="s">
        <v>1005</v>
      </c>
      <c r="B333" s="19" t="s">
        <v>1006</v>
      </c>
      <c r="C333" s="19" t="s">
        <v>1007</v>
      </c>
      <c r="D333" s="20">
        <v>7.7453210137499999</v>
      </c>
      <c r="E333" s="20">
        <v>4.604953826</v>
      </c>
      <c r="F333" s="1">
        <v>0.27684931664176665</v>
      </c>
      <c r="G333" s="42"/>
      <c r="J333" s="44" t="s">
        <v>187</v>
      </c>
      <c r="K333" s="35">
        <v>0.1467</v>
      </c>
      <c r="L333" s="35">
        <v>4.0000000000000002E-4</v>
      </c>
      <c r="M333" s="35">
        <v>0</v>
      </c>
      <c r="N333" s="21"/>
      <c r="Q333" s="22"/>
      <c r="R333" s="2"/>
      <c r="S333" s="2"/>
      <c r="T333" s="2"/>
      <c r="U333" s="34">
        <f t="shared" si="5"/>
        <v>0.1467</v>
      </c>
    </row>
    <row r="334" spans="1:21" x14ac:dyDescent="0.2">
      <c r="A334" s="18" t="s">
        <v>1008</v>
      </c>
      <c r="B334" s="19" t="s">
        <v>1009</v>
      </c>
      <c r="C334" s="19" t="s">
        <v>1010</v>
      </c>
      <c r="D334" s="20">
        <v>2.6368619340000001</v>
      </c>
      <c r="E334" s="20">
        <v>10.7147731865</v>
      </c>
      <c r="F334" s="1">
        <v>3.2487419809992764</v>
      </c>
      <c r="G334" s="42"/>
      <c r="H334" s="49" t="s">
        <v>187</v>
      </c>
      <c r="J334" s="44"/>
      <c r="K334" s="35">
        <v>0.2356</v>
      </c>
      <c r="L334" s="35">
        <v>0.66920000000000002</v>
      </c>
      <c r="M334" s="35">
        <v>0</v>
      </c>
      <c r="N334" s="21"/>
      <c r="O334" s="2" t="s">
        <v>187</v>
      </c>
      <c r="Q334" s="22"/>
      <c r="R334" s="2"/>
      <c r="S334" s="2"/>
      <c r="T334" s="2"/>
      <c r="U334" s="34">
        <f t="shared" si="5"/>
        <v>0.66920000000000002</v>
      </c>
    </row>
    <row r="335" spans="1:21" x14ac:dyDescent="0.2">
      <c r="A335" s="18" t="s">
        <v>1011</v>
      </c>
      <c r="B335" s="19" t="s">
        <v>1012</v>
      </c>
      <c r="C335" s="19" t="s">
        <v>1013</v>
      </c>
      <c r="D335" s="20">
        <v>1.0909051074999998</v>
      </c>
      <c r="E335" s="20">
        <v>3.7193974915000005</v>
      </c>
      <c r="F335" s="1">
        <v>33.005629468376497</v>
      </c>
      <c r="G335" s="42"/>
      <c r="J335" s="44" t="s">
        <v>187</v>
      </c>
      <c r="K335" s="35">
        <v>0</v>
      </c>
      <c r="L335" s="35">
        <v>0.52300000000000002</v>
      </c>
      <c r="M335" s="35">
        <v>4.4699999999999997E-2</v>
      </c>
      <c r="N335" s="21"/>
      <c r="Q335" s="22"/>
      <c r="R335" s="2"/>
      <c r="S335" s="2"/>
      <c r="T335" s="2"/>
      <c r="U335" s="34">
        <f t="shared" si="5"/>
        <v>0.52300000000000002</v>
      </c>
    </row>
    <row r="336" spans="1:21" x14ac:dyDescent="0.2">
      <c r="A336" s="18" t="s">
        <v>1014</v>
      </c>
      <c r="B336" s="19" t="s">
        <v>1015</v>
      </c>
      <c r="C336" s="19" t="s">
        <v>1016</v>
      </c>
      <c r="D336" s="20">
        <v>1.8120692057499999</v>
      </c>
      <c r="E336" s="20">
        <v>3.7324522035000003</v>
      </c>
      <c r="F336" s="1">
        <v>22.867753554603567</v>
      </c>
      <c r="G336" s="42"/>
      <c r="J336" s="44" t="s">
        <v>187</v>
      </c>
      <c r="K336" s="35">
        <v>6.9999999999999999E-4</v>
      </c>
      <c r="L336" s="35">
        <v>0.18790000000000001</v>
      </c>
      <c r="M336" s="35">
        <v>2.5999999999999999E-3</v>
      </c>
      <c r="N336" s="21"/>
      <c r="Q336" s="22"/>
      <c r="R336" s="2"/>
      <c r="S336" s="2"/>
      <c r="T336" s="2"/>
      <c r="U336" s="34">
        <f t="shared" si="5"/>
        <v>0.18790000000000001</v>
      </c>
    </row>
    <row r="337" spans="1:21" x14ac:dyDescent="0.2">
      <c r="A337" s="18" t="s">
        <v>1017</v>
      </c>
      <c r="B337" s="19" t="s">
        <v>1018</v>
      </c>
      <c r="C337" s="19" t="s">
        <v>1019</v>
      </c>
      <c r="D337" s="20">
        <v>0.45474026725000005</v>
      </c>
      <c r="E337" s="20">
        <v>0.31575176033333335</v>
      </c>
      <c r="F337" s="1">
        <v>3.1090295485829401E-2</v>
      </c>
      <c r="G337" s="42"/>
      <c r="I337" s="43" t="s">
        <v>187</v>
      </c>
      <c r="J337" s="44"/>
      <c r="K337" s="35">
        <v>0</v>
      </c>
      <c r="L337" s="35">
        <v>0</v>
      </c>
      <c r="M337" s="35">
        <v>0.95950000000000002</v>
      </c>
      <c r="N337" s="21"/>
      <c r="O337" s="2" t="s">
        <v>187</v>
      </c>
      <c r="Q337" s="22"/>
      <c r="R337" s="2"/>
      <c r="S337" s="2"/>
      <c r="T337" s="2"/>
      <c r="U337" s="34">
        <f t="shared" si="5"/>
        <v>0.95950000000000002</v>
      </c>
    </row>
    <row r="338" spans="1:21" x14ac:dyDescent="0.2">
      <c r="A338" s="18" t="s">
        <v>1020</v>
      </c>
      <c r="B338" s="19" t="s">
        <v>1021</v>
      </c>
      <c r="C338" s="19" t="s">
        <v>1022</v>
      </c>
      <c r="D338" s="23" t="s">
        <v>46</v>
      </c>
      <c r="E338" s="20">
        <v>4.6130500000000005E-2</v>
      </c>
      <c r="F338" s="1">
        <v>2.3709229039007518</v>
      </c>
      <c r="G338" s="42"/>
      <c r="I338" s="49" t="s">
        <v>187</v>
      </c>
      <c r="J338" s="44"/>
      <c r="K338" s="35" t="e">
        <v>#N/A</v>
      </c>
      <c r="L338" s="35" t="e">
        <v>#N/A</v>
      </c>
      <c r="M338" s="35" t="e">
        <v>#N/A</v>
      </c>
      <c r="N338" s="21"/>
      <c r="O338" s="2" t="s">
        <v>187</v>
      </c>
      <c r="Q338" s="22"/>
      <c r="R338" s="2"/>
      <c r="S338" s="2"/>
      <c r="T338" s="2"/>
      <c r="U338" s="34" t="e">
        <f t="shared" si="5"/>
        <v>#N/A</v>
      </c>
    </row>
    <row r="339" spans="1:21" x14ac:dyDescent="0.2">
      <c r="A339" s="18" t="s">
        <v>1023</v>
      </c>
      <c r="B339" s="19" t="s">
        <v>1024</v>
      </c>
      <c r="C339" s="19" t="s">
        <v>1025</v>
      </c>
      <c r="D339" s="20">
        <v>2.4395661026666668</v>
      </c>
      <c r="E339" s="20">
        <v>8.4317115073333344</v>
      </c>
      <c r="F339" s="1">
        <v>7.1655117248496998</v>
      </c>
      <c r="G339" s="42"/>
      <c r="J339" s="44" t="s">
        <v>187</v>
      </c>
      <c r="K339" s="35">
        <v>0.1338</v>
      </c>
      <c r="L339" s="35">
        <v>0.69889999999999997</v>
      </c>
      <c r="M339" s="35">
        <v>0</v>
      </c>
      <c r="N339" s="21"/>
      <c r="P339" s="2" t="s">
        <v>187</v>
      </c>
      <c r="Q339" s="22"/>
      <c r="R339" s="2"/>
      <c r="S339" s="2"/>
      <c r="T339" s="2"/>
      <c r="U339" s="34">
        <f t="shared" si="5"/>
        <v>0.69889999999999997</v>
      </c>
    </row>
    <row r="340" spans="1:21" x14ac:dyDescent="0.2">
      <c r="A340" s="18" t="s">
        <v>1026</v>
      </c>
      <c r="B340" s="19" t="s">
        <v>1027</v>
      </c>
      <c r="C340" s="19" t="s">
        <v>1028</v>
      </c>
      <c r="D340" s="20">
        <v>1.926879188</v>
      </c>
      <c r="E340" s="20">
        <v>4.5527045532499999</v>
      </c>
      <c r="F340" s="1">
        <v>0.47123287939009872</v>
      </c>
      <c r="G340" s="42"/>
      <c r="J340" s="44" t="s">
        <v>187</v>
      </c>
      <c r="K340" s="35">
        <v>4.1999999999999997E-3</v>
      </c>
      <c r="L340" s="35">
        <v>0.3659</v>
      </c>
      <c r="M340" s="35">
        <v>8.9999999999999998E-4</v>
      </c>
      <c r="N340" s="21"/>
      <c r="Q340" s="22"/>
      <c r="R340" s="2"/>
      <c r="S340" s="2"/>
      <c r="T340" s="2"/>
      <c r="U340" s="34">
        <f t="shared" si="5"/>
        <v>0.3659</v>
      </c>
    </row>
    <row r="341" spans="1:21" x14ac:dyDescent="0.2">
      <c r="A341" s="18" t="s">
        <v>1029</v>
      </c>
      <c r="B341" s="19" t="s">
        <v>1030</v>
      </c>
      <c r="C341" s="19" t="s">
        <v>1031</v>
      </c>
      <c r="D341" s="20">
        <v>1.3319356769999999</v>
      </c>
      <c r="E341" s="20">
        <v>2.6265000000000001</v>
      </c>
      <c r="F341" s="1" t="s">
        <v>47</v>
      </c>
      <c r="G341" s="42"/>
      <c r="J341" s="44" t="s">
        <v>187</v>
      </c>
      <c r="K341" s="35">
        <v>0</v>
      </c>
      <c r="L341" s="35">
        <v>6.8199999999999997E-2</v>
      </c>
      <c r="M341" s="35">
        <v>4.6600000000000003E-2</v>
      </c>
      <c r="N341" s="21"/>
      <c r="Q341" s="22"/>
      <c r="R341" s="2"/>
      <c r="S341" s="2"/>
      <c r="T341" s="2"/>
      <c r="U341" s="34">
        <f t="shared" si="5"/>
        <v>6.8199999999999997E-2</v>
      </c>
    </row>
    <row r="342" spans="1:21" x14ac:dyDescent="0.2">
      <c r="A342" s="18" t="s">
        <v>1032</v>
      </c>
      <c r="B342" s="19" t="s">
        <v>1033</v>
      </c>
      <c r="C342" s="19" t="s">
        <v>1034</v>
      </c>
      <c r="D342" s="20">
        <v>11.782629443249999</v>
      </c>
      <c r="E342" s="20">
        <v>21.100168716999999</v>
      </c>
      <c r="F342" s="1">
        <v>0.40180682319604283</v>
      </c>
      <c r="G342" s="42" t="s">
        <v>187</v>
      </c>
      <c r="J342" s="44"/>
      <c r="K342" s="35">
        <v>0.98340000000000005</v>
      </c>
      <c r="L342" s="35">
        <v>2.0999999999999999E-3</v>
      </c>
      <c r="M342" s="35">
        <v>0</v>
      </c>
      <c r="N342" s="21"/>
      <c r="Q342" s="22" t="s">
        <v>187</v>
      </c>
      <c r="R342" s="2"/>
      <c r="S342" s="2"/>
      <c r="T342" s="2"/>
      <c r="U342" s="34">
        <f t="shared" si="5"/>
        <v>0.98340000000000005</v>
      </c>
    </row>
    <row r="343" spans="1:21" x14ac:dyDescent="0.2">
      <c r="A343" s="18" t="s">
        <v>1035</v>
      </c>
      <c r="B343" s="19" t="s">
        <v>1036</v>
      </c>
      <c r="C343" s="19" t="s">
        <v>1037</v>
      </c>
      <c r="D343" s="20">
        <v>8.0078266975000005</v>
      </c>
      <c r="E343" s="20">
        <v>9.2432505549999995</v>
      </c>
      <c r="F343" s="1">
        <v>0.22392224140135983</v>
      </c>
      <c r="G343" s="42" t="s">
        <v>187</v>
      </c>
      <c r="J343" s="44"/>
      <c r="K343" s="35">
        <v>0.94159999999999999</v>
      </c>
      <c r="L343" s="35">
        <v>2.0999999999999999E-3</v>
      </c>
      <c r="M343" s="35">
        <v>0</v>
      </c>
      <c r="N343" s="21"/>
      <c r="Q343" s="22" t="s">
        <v>187</v>
      </c>
      <c r="R343" s="2"/>
      <c r="S343" s="2"/>
      <c r="T343" s="2"/>
      <c r="U343" s="34">
        <f t="shared" si="5"/>
        <v>0.94159999999999999</v>
      </c>
    </row>
    <row r="344" spans="1:21" x14ac:dyDescent="0.2">
      <c r="A344" s="18" t="s">
        <v>1038</v>
      </c>
      <c r="B344" s="19" t="s">
        <v>1039</v>
      </c>
      <c r="C344" s="19" t="s">
        <v>1040</v>
      </c>
      <c r="D344" s="20">
        <v>11.0080935695</v>
      </c>
      <c r="E344" s="20">
        <v>21.231474954999999</v>
      </c>
      <c r="F344" s="1">
        <v>0.45371610295874326</v>
      </c>
      <c r="G344" s="42" t="s">
        <v>187</v>
      </c>
      <c r="J344" s="44"/>
      <c r="K344" s="35">
        <v>0.98260000000000003</v>
      </c>
      <c r="L344" s="35">
        <v>3.0000000000000001E-3</v>
      </c>
      <c r="M344" s="35">
        <v>0</v>
      </c>
      <c r="N344" s="21"/>
      <c r="Q344" s="22" t="s">
        <v>187</v>
      </c>
      <c r="R344" s="2"/>
      <c r="S344" s="2"/>
      <c r="T344" s="2"/>
      <c r="U344" s="34">
        <f t="shared" si="5"/>
        <v>0.98260000000000003</v>
      </c>
    </row>
    <row r="345" spans="1:21" x14ac:dyDescent="0.2">
      <c r="A345" s="18" t="s">
        <v>1041</v>
      </c>
      <c r="B345" s="19" t="s">
        <v>1042</v>
      </c>
      <c r="C345" s="19" t="s">
        <v>1043</v>
      </c>
      <c r="D345" s="20">
        <v>8.0306586064999994</v>
      </c>
      <c r="E345" s="20">
        <v>20.928462109999998</v>
      </c>
      <c r="F345" s="1">
        <v>0.61796722464672604</v>
      </c>
      <c r="G345" s="42" t="s">
        <v>187</v>
      </c>
      <c r="J345" s="44"/>
      <c r="K345" s="35">
        <v>0.97070000000000001</v>
      </c>
      <c r="L345" s="35">
        <v>1.3100000000000001E-2</v>
      </c>
      <c r="M345" s="35">
        <v>0</v>
      </c>
      <c r="N345" s="21"/>
      <c r="Q345" s="22" t="s">
        <v>187</v>
      </c>
      <c r="R345" s="2"/>
      <c r="S345" s="2"/>
      <c r="T345" s="2"/>
      <c r="U345" s="34">
        <f t="shared" si="5"/>
        <v>0.97070000000000001</v>
      </c>
    </row>
    <row r="346" spans="1:21" x14ac:dyDescent="0.2">
      <c r="A346" s="18" t="s">
        <v>1044</v>
      </c>
      <c r="B346" s="19" t="s">
        <v>1045</v>
      </c>
      <c r="C346" s="19" t="s">
        <v>1046</v>
      </c>
      <c r="D346" s="20">
        <v>14.927918392499999</v>
      </c>
      <c r="E346" s="20">
        <v>22.469712775000001</v>
      </c>
      <c r="F346" s="1">
        <v>0.42377373468401214</v>
      </c>
      <c r="G346" s="42" t="s">
        <v>187</v>
      </c>
      <c r="J346" s="44"/>
      <c r="K346" s="35">
        <v>0.98150000000000004</v>
      </c>
      <c r="L346" s="35">
        <v>8.9999999999999998E-4</v>
      </c>
      <c r="M346" s="35">
        <v>0</v>
      </c>
      <c r="N346" s="21"/>
      <c r="Q346" s="22" t="s">
        <v>187</v>
      </c>
      <c r="R346" s="2"/>
      <c r="S346" s="2"/>
      <c r="T346" s="2"/>
      <c r="U346" s="34">
        <f t="shared" si="5"/>
        <v>0.98150000000000004</v>
      </c>
    </row>
    <row r="347" spans="1:21" x14ac:dyDescent="0.2">
      <c r="A347" s="18" t="s">
        <v>1047</v>
      </c>
      <c r="B347" s="19" t="s">
        <v>1048</v>
      </c>
      <c r="C347" s="19" t="s">
        <v>1049</v>
      </c>
      <c r="D347" s="20">
        <v>2.0858795753333332</v>
      </c>
      <c r="E347" s="20">
        <v>8.8308999999999997</v>
      </c>
      <c r="F347" s="1">
        <v>1.0560231665714548</v>
      </c>
      <c r="G347" s="42"/>
      <c r="H347" s="43" t="s">
        <v>187</v>
      </c>
      <c r="J347" s="44"/>
      <c r="K347" s="35">
        <v>5.4899999999999997E-2</v>
      </c>
      <c r="L347" s="35">
        <v>0.83450000000000002</v>
      </c>
      <c r="M347" s="35">
        <v>0</v>
      </c>
      <c r="N347" s="21"/>
      <c r="O347" s="2" t="s">
        <v>187</v>
      </c>
      <c r="Q347" s="22"/>
      <c r="R347" s="2"/>
      <c r="S347" s="2"/>
      <c r="T347" s="2"/>
      <c r="U347" s="34">
        <f t="shared" si="5"/>
        <v>0.83450000000000002</v>
      </c>
    </row>
    <row r="348" spans="1:21" x14ac:dyDescent="0.2">
      <c r="A348" s="18" t="s">
        <v>1050</v>
      </c>
      <c r="B348" s="19" t="s">
        <v>1051</v>
      </c>
      <c r="C348" s="19" t="s">
        <v>1052</v>
      </c>
      <c r="D348" s="20">
        <v>1.4336105557500001</v>
      </c>
      <c r="E348" s="20">
        <v>22.801532080000001</v>
      </c>
      <c r="F348" s="1">
        <v>0.13395934676209104</v>
      </c>
      <c r="G348" s="42"/>
      <c r="H348" s="43" t="s">
        <v>187</v>
      </c>
      <c r="J348" s="44"/>
      <c r="K348" s="35">
        <v>4.1000000000000003E-3</v>
      </c>
      <c r="L348" s="35">
        <v>0.96040000000000003</v>
      </c>
      <c r="M348" s="35">
        <v>0</v>
      </c>
      <c r="N348" s="21"/>
      <c r="O348" s="2" t="s">
        <v>187</v>
      </c>
      <c r="Q348" s="22"/>
      <c r="R348" s="2"/>
      <c r="S348" s="2"/>
      <c r="T348" s="2"/>
      <c r="U348" s="34">
        <f t="shared" si="5"/>
        <v>0.96040000000000003</v>
      </c>
    </row>
    <row r="349" spans="1:21" x14ac:dyDescent="0.2">
      <c r="A349" s="18" t="s">
        <v>1053</v>
      </c>
      <c r="B349" s="19" t="s">
        <v>1054</v>
      </c>
      <c r="C349" s="19" t="s">
        <v>1055</v>
      </c>
      <c r="D349" s="20">
        <v>1.5354879975</v>
      </c>
      <c r="E349" s="20">
        <v>16.526033795</v>
      </c>
      <c r="F349" s="1">
        <v>0.3381966083974956</v>
      </c>
      <c r="G349" s="42"/>
      <c r="H349" s="43" t="s">
        <v>187</v>
      </c>
      <c r="J349" s="44"/>
      <c r="K349" s="35">
        <v>8.6E-3</v>
      </c>
      <c r="L349" s="35">
        <v>0.96199999999999997</v>
      </c>
      <c r="M349" s="35">
        <v>0</v>
      </c>
      <c r="N349" s="21"/>
      <c r="O349" s="2" t="s">
        <v>187</v>
      </c>
      <c r="Q349" s="22"/>
      <c r="R349" s="2"/>
      <c r="S349" s="2"/>
      <c r="T349" s="2"/>
      <c r="U349" s="34">
        <f t="shared" si="5"/>
        <v>0.96199999999999997</v>
      </c>
    </row>
    <row r="350" spans="1:21" x14ac:dyDescent="0.2">
      <c r="A350" s="18" t="s">
        <v>1056</v>
      </c>
      <c r="B350" s="19" t="s">
        <v>1057</v>
      </c>
      <c r="C350" s="19" t="s">
        <v>1058</v>
      </c>
      <c r="D350" s="20">
        <v>1.0185329755000001</v>
      </c>
      <c r="E350" s="20">
        <v>22.59524892</v>
      </c>
      <c r="F350" s="1">
        <v>0.38902640995356808</v>
      </c>
      <c r="G350" s="42"/>
      <c r="H350" s="43" t="s">
        <v>187</v>
      </c>
      <c r="J350" s="44"/>
      <c r="K350" s="35">
        <v>5.0000000000000001E-4</v>
      </c>
      <c r="L350" s="35">
        <v>0.95930000000000004</v>
      </c>
      <c r="M350" s="35">
        <v>1E-4</v>
      </c>
      <c r="N350" s="21"/>
      <c r="O350" s="2" t="s">
        <v>187</v>
      </c>
      <c r="Q350" s="22"/>
      <c r="R350" s="2"/>
      <c r="S350" s="2"/>
      <c r="T350" s="2"/>
      <c r="U350" s="34">
        <f t="shared" si="5"/>
        <v>0.95930000000000004</v>
      </c>
    </row>
    <row r="351" spans="1:21" x14ac:dyDescent="0.2">
      <c r="A351" s="18" t="s">
        <v>1059</v>
      </c>
      <c r="B351" s="19" t="s">
        <v>1060</v>
      </c>
      <c r="C351" s="19" t="s">
        <v>1061</v>
      </c>
      <c r="D351" s="20">
        <v>10.045952844999999</v>
      </c>
      <c r="E351" s="20">
        <v>25.126423459999998</v>
      </c>
      <c r="F351" s="1">
        <v>0.36211781298145695</v>
      </c>
      <c r="G351" s="42" t="s">
        <v>187</v>
      </c>
      <c r="J351" s="44"/>
      <c r="K351" s="35">
        <v>0.97199999999999998</v>
      </c>
      <c r="L351" s="35">
        <v>8.8999999999999999E-3</v>
      </c>
      <c r="M351" s="35">
        <v>0</v>
      </c>
      <c r="N351" s="21"/>
      <c r="Q351" s="22" t="s">
        <v>187</v>
      </c>
      <c r="R351" s="2"/>
      <c r="S351" s="2"/>
      <c r="T351" s="2"/>
      <c r="U351" s="34">
        <f t="shared" si="5"/>
        <v>0.97199999999999998</v>
      </c>
    </row>
    <row r="352" spans="1:21" x14ac:dyDescent="0.2">
      <c r="A352" s="18" t="s">
        <v>1062</v>
      </c>
      <c r="B352" s="19" t="s">
        <v>1063</v>
      </c>
      <c r="C352" s="19" t="s">
        <v>1064</v>
      </c>
      <c r="D352" s="20">
        <v>16.449756090000001</v>
      </c>
      <c r="E352" s="20">
        <v>17.1185397725</v>
      </c>
      <c r="F352" s="1">
        <v>0.58218658092128817</v>
      </c>
      <c r="G352" s="42" t="s">
        <v>187</v>
      </c>
      <c r="J352" s="44"/>
      <c r="K352" s="35">
        <v>0.9819</v>
      </c>
      <c r="L352" s="35">
        <v>2.0000000000000001E-4</v>
      </c>
      <c r="M352" s="35">
        <v>0</v>
      </c>
      <c r="N352" s="21"/>
      <c r="Q352" s="22" t="s">
        <v>187</v>
      </c>
      <c r="R352" s="2"/>
      <c r="S352" s="2"/>
      <c r="T352" s="2"/>
      <c r="U352" s="34">
        <f t="shared" si="5"/>
        <v>0.9819</v>
      </c>
    </row>
    <row r="353" spans="1:21" x14ac:dyDescent="0.2">
      <c r="A353" s="18" t="s">
        <v>1065</v>
      </c>
      <c r="B353" s="19" t="s">
        <v>1066</v>
      </c>
      <c r="C353" s="19" t="s">
        <v>1067</v>
      </c>
      <c r="D353" s="20">
        <v>1.66568427475</v>
      </c>
      <c r="E353" s="20">
        <v>15.414905587749999</v>
      </c>
      <c r="F353" s="1">
        <v>0.16545708317815694</v>
      </c>
      <c r="G353" s="42"/>
      <c r="H353" s="43" t="s">
        <v>187</v>
      </c>
      <c r="J353" s="44"/>
      <c r="K353" s="35">
        <v>1.49E-2</v>
      </c>
      <c r="L353" s="35">
        <v>0.95320000000000005</v>
      </c>
      <c r="M353" s="35">
        <v>0</v>
      </c>
      <c r="N353" s="21"/>
      <c r="O353" s="2" t="s">
        <v>187</v>
      </c>
      <c r="Q353" s="22"/>
      <c r="R353" s="2"/>
      <c r="S353" s="2"/>
      <c r="T353" s="2"/>
      <c r="U353" s="34">
        <f t="shared" si="5"/>
        <v>0.95320000000000005</v>
      </c>
    </row>
    <row r="354" spans="1:21" x14ac:dyDescent="0.2">
      <c r="A354" s="18" t="s">
        <v>1068</v>
      </c>
      <c r="B354" s="19" t="s">
        <v>1069</v>
      </c>
      <c r="C354" s="19" t="s">
        <v>1070</v>
      </c>
      <c r="D354" s="20">
        <v>1.69740213875</v>
      </c>
      <c r="E354" s="20">
        <v>10.018786099</v>
      </c>
      <c r="F354" s="1">
        <v>0.28697795017758604</v>
      </c>
      <c r="G354" s="42"/>
      <c r="H354" s="43" t="s">
        <v>187</v>
      </c>
      <c r="J354" s="44"/>
      <c r="K354" s="35">
        <v>1.5699999999999999E-2</v>
      </c>
      <c r="L354" s="35">
        <v>0.9284</v>
      </c>
      <c r="M354" s="35">
        <v>0</v>
      </c>
      <c r="N354" s="21"/>
      <c r="O354" s="2" t="s">
        <v>187</v>
      </c>
      <c r="Q354" s="22"/>
      <c r="R354" s="2"/>
      <c r="S354" s="2"/>
      <c r="T354" s="2"/>
      <c r="U354" s="34">
        <f t="shared" si="5"/>
        <v>0.9284</v>
      </c>
    </row>
    <row r="355" spans="1:21" x14ac:dyDescent="0.2">
      <c r="A355" s="18" t="s">
        <v>1071</v>
      </c>
      <c r="B355" s="19" t="s">
        <v>1072</v>
      </c>
      <c r="C355" s="19" t="s">
        <v>1073</v>
      </c>
      <c r="D355" s="20">
        <v>5.7314901472500006</v>
      </c>
      <c r="E355" s="20">
        <v>12.950919947500001</v>
      </c>
      <c r="F355" s="1">
        <v>0</v>
      </c>
      <c r="G355" s="42" t="s">
        <v>187</v>
      </c>
      <c r="J355" s="44"/>
      <c r="K355" s="35">
        <v>0.94650000000000001</v>
      </c>
      <c r="L355" s="35">
        <v>2.4500000000000001E-2</v>
      </c>
      <c r="M355" s="35">
        <v>0</v>
      </c>
      <c r="N355" s="21"/>
      <c r="Q355" s="22" t="s">
        <v>187</v>
      </c>
      <c r="R355" s="2"/>
      <c r="S355" s="2"/>
      <c r="T355" s="2"/>
      <c r="U355" s="34">
        <f t="shared" si="5"/>
        <v>0.94650000000000001</v>
      </c>
    </row>
    <row r="356" spans="1:21" x14ac:dyDescent="0.2">
      <c r="A356" s="18" t="s">
        <v>1074</v>
      </c>
      <c r="B356" s="19" t="s">
        <v>1075</v>
      </c>
      <c r="C356" s="19" t="s">
        <v>1076</v>
      </c>
      <c r="D356" s="20">
        <v>0.22487593950000001</v>
      </c>
      <c r="E356" s="20">
        <v>9.7991278995000002</v>
      </c>
      <c r="F356" s="1">
        <v>0.83783345825761746</v>
      </c>
      <c r="G356" s="42"/>
      <c r="H356" s="43" t="s">
        <v>187</v>
      </c>
      <c r="J356" s="44"/>
      <c r="K356" s="35">
        <v>0</v>
      </c>
      <c r="L356" s="35">
        <v>0.873</v>
      </c>
      <c r="M356" s="35">
        <v>7.4999999999999997E-3</v>
      </c>
      <c r="N356" s="21" t="s">
        <v>187</v>
      </c>
      <c r="Q356" s="22"/>
      <c r="R356" s="2"/>
      <c r="S356" s="2"/>
      <c r="T356" s="2"/>
      <c r="U356" s="34">
        <f t="shared" si="5"/>
        <v>0.873</v>
      </c>
    </row>
    <row r="357" spans="1:21" x14ac:dyDescent="0.2">
      <c r="A357" s="18" t="s">
        <v>1077</v>
      </c>
      <c r="B357" s="19" t="s">
        <v>1078</v>
      </c>
      <c r="C357" s="19" t="s">
        <v>1079</v>
      </c>
      <c r="D357" s="20">
        <v>3.8826148985</v>
      </c>
      <c r="E357" s="20">
        <v>19.214930426999999</v>
      </c>
      <c r="F357" s="1">
        <v>0.16049235747347157</v>
      </c>
      <c r="G357" s="42" t="s">
        <v>187</v>
      </c>
      <c r="J357" s="44"/>
      <c r="K357" s="35">
        <v>0.63719999999999999</v>
      </c>
      <c r="L357" s="35">
        <v>0.3216</v>
      </c>
      <c r="M357" s="35">
        <v>0</v>
      </c>
      <c r="N357" s="21"/>
      <c r="Q357" s="22" t="s">
        <v>187</v>
      </c>
      <c r="R357" s="2"/>
      <c r="S357" s="2"/>
      <c r="T357" s="2"/>
      <c r="U357" s="34">
        <f t="shared" si="5"/>
        <v>0.63719999999999999</v>
      </c>
    </row>
    <row r="358" spans="1:21" x14ac:dyDescent="0.2">
      <c r="A358" s="18" t="s">
        <v>1080</v>
      </c>
      <c r="B358" s="19" t="s">
        <v>1081</v>
      </c>
      <c r="C358" s="19" t="s">
        <v>1082</v>
      </c>
      <c r="D358" s="20">
        <v>0.364782153</v>
      </c>
      <c r="E358" s="20">
        <v>0.377033069</v>
      </c>
      <c r="F358" s="1">
        <v>0</v>
      </c>
      <c r="G358" s="42"/>
      <c r="I358" s="43" t="s">
        <v>187</v>
      </c>
      <c r="J358" s="44"/>
      <c r="K358" s="35">
        <v>0</v>
      </c>
      <c r="L358" s="35">
        <v>0</v>
      </c>
      <c r="M358" s="35">
        <v>0.96760000000000002</v>
      </c>
      <c r="N358" s="21"/>
      <c r="O358" s="2" t="s">
        <v>187</v>
      </c>
      <c r="Q358" s="22"/>
      <c r="R358" s="2"/>
      <c r="S358" s="2"/>
      <c r="T358" s="2"/>
      <c r="U358" s="34">
        <f t="shared" si="5"/>
        <v>0.96760000000000002</v>
      </c>
    </row>
    <row r="359" spans="1:21" x14ac:dyDescent="0.2">
      <c r="A359" s="18" t="s">
        <v>1083</v>
      </c>
      <c r="B359" s="19" t="s">
        <v>1084</v>
      </c>
      <c r="C359" s="19" t="s">
        <v>1085</v>
      </c>
      <c r="D359" s="20">
        <v>0.30479000000000001</v>
      </c>
      <c r="E359" s="20">
        <v>9.4501310499999991E-2</v>
      </c>
      <c r="F359" s="1">
        <v>0</v>
      </c>
      <c r="G359" s="42"/>
      <c r="I359" s="43" t="s">
        <v>187</v>
      </c>
      <c r="J359" s="44"/>
      <c r="K359" s="35">
        <v>0</v>
      </c>
      <c r="L359" s="35">
        <v>0</v>
      </c>
      <c r="M359" s="35">
        <v>0.96079999999999999</v>
      </c>
      <c r="N359" s="21"/>
      <c r="O359" s="2" t="s">
        <v>187</v>
      </c>
      <c r="Q359" s="22"/>
      <c r="R359" s="2"/>
      <c r="S359" s="2"/>
      <c r="T359" s="2"/>
      <c r="U359" s="34">
        <f t="shared" si="5"/>
        <v>0.96079999999999999</v>
      </c>
    </row>
    <row r="360" spans="1:21" x14ac:dyDescent="0.2">
      <c r="A360" s="18" t="s">
        <v>1086</v>
      </c>
      <c r="B360" s="19" t="s">
        <v>1087</v>
      </c>
      <c r="C360" s="19" t="s">
        <v>1088</v>
      </c>
      <c r="D360" s="20">
        <v>1.0257460787499999</v>
      </c>
      <c r="E360" s="20">
        <v>0.10420395875000001</v>
      </c>
      <c r="F360" s="1">
        <v>0</v>
      </c>
      <c r="G360" s="42"/>
      <c r="I360" s="43" t="s">
        <v>187</v>
      </c>
      <c r="J360" s="44"/>
      <c r="K360" s="35">
        <v>0</v>
      </c>
      <c r="L360" s="35">
        <v>0</v>
      </c>
      <c r="M360" s="35">
        <v>0.31230000000000002</v>
      </c>
      <c r="N360" s="21"/>
      <c r="O360" s="2" t="s">
        <v>187</v>
      </c>
      <c r="Q360" s="22"/>
      <c r="R360" s="2"/>
      <c r="S360" s="2"/>
      <c r="T360" s="2"/>
      <c r="U360" s="34">
        <f t="shared" si="5"/>
        <v>0.31230000000000002</v>
      </c>
    </row>
    <row r="361" spans="1:21" x14ac:dyDescent="0.2">
      <c r="A361" s="18" t="s">
        <v>1089</v>
      </c>
      <c r="B361" s="19" t="s">
        <v>1090</v>
      </c>
      <c r="C361" s="19" t="s">
        <v>1091</v>
      </c>
      <c r="D361" s="20">
        <v>0.49994114924999999</v>
      </c>
      <c r="E361" s="20">
        <v>0.12747</v>
      </c>
      <c r="F361" s="1">
        <v>0.66979673381089089</v>
      </c>
      <c r="G361" s="42"/>
      <c r="I361" s="43" t="s">
        <v>187</v>
      </c>
      <c r="J361" s="44"/>
      <c r="K361" s="35">
        <v>0</v>
      </c>
      <c r="L361" s="35">
        <v>0</v>
      </c>
      <c r="M361" s="35">
        <v>0.9365</v>
      </c>
      <c r="N361" s="21"/>
      <c r="O361" s="2" t="s">
        <v>187</v>
      </c>
      <c r="Q361" s="22"/>
      <c r="R361" s="2"/>
      <c r="S361" s="2"/>
      <c r="T361" s="2"/>
      <c r="U361" s="34">
        <f t="shared" si="5"/>
        <v>0.9365</v>
      </c>
    </row>
    <row r="362" spans="1:21" x14ac:dyDescent="0.2">
      <c r="A362" s="18" t="s">
        <v>1092</v>
      </c>
      <c r="B362" s="19" t="s">
        <v>1093</v>
      </c>
      <c r="C362" s="19" t="s">
        <v>1094</v>
      </c>
      <c r="D362" s="20">
        <v>6.3649754839999995</v>
      </c>
      <c r="E362" s="20">
        <v>20.4803653385</v>
      </c>
      <c r="F362" s="1">
        <v>2.4851041021428806</v>
      </c>
      <c r="G362" s="42" t="s">
        <v>187</v>
      </c>
      <c r="J362" s="44"/>
      <c r="K362" s="35">
        <v>0.94069999999999998</v>
      </c>
      <c r="L362" s="35">
        <v>3.8800000000000001E-2</v>
      </c>
      <c r="M362" s="35">
        <v>0</v>
      </c>
      <c r="N362" s="21"/>
      <c r="Q362" s="22" t="s">
        <v>187</v>
      </c>
      <c r="R362" s="2"/>
      <c r="S362" s="2"/>
      <c r="T362" s="2"/>
      <c r="U362" s="34">
        <f t="shared" si="5"/>
        <v>0.94069999999999998</v>
      </c>
    </row>
    <row r="363" spans="1:21" x14ac:dyDescent="0.2">
      <c r="A363" s="18" t="s">
        <v>1095</v>
      </c>
      <c r="B363" s="19" t="s">
        <v>1096</v>
      </c>
      <c r="C363" s="19" t="s">
        <v>1097</v>
      </c>
      <c r="D363" s="20">
        <v>1.3331814937499999</v>
      </c>
      <c r="E363" s="20">
        <v>1.3292168739999999</v>
      </c>
      <c r="F363" s="1">
        <v>47.184705115676358</v>
      </c>
      <c r="G363" s="42"/>
      <c r="J363" s="44" t="s">
        <v>187</v>
      </c>
      <c r="K363" s="35">
        <v>0</v>
      </c>
      <c r="L363" s="35">
        <v>2.9999999999999997E-4</v>
      </c>
      <c r="M363" s="35">
        <v>9.9500000000000005E-2</v>
      </c>
      <c r="N363" s="21"/>
      <c r="Q363" s="22"/>
      <c r="R363" s="2"/>
      <c r="S363" s="2"/>
      <c r="T363" s="2"/>
      <c r="U363" s="34">
        <f t="shared" si="5"/>
        <v>9.9500000000000005E-2</v>
      </c>
    </row>
    <row r="364" spans="1:21" x14ac:dyDescent="0.2">
      <c r="A364" s="18" t="s">
        <v>1098</v>
      </c>
      <c r="B364" s="19" t="s">
        <v>1099</v>
      </c>
      <c r="C364" s="19" t="s">
        <v>1100</v>
      </c>
      <c r="D364" s="20">
        <v>0.26820523600000001</v>
      </c>
      <c r="E364" s="20">
        <v>43.142000000000003</v>
      </c>
      <c r="F364" s="1">
        <v>0</v>
      </c>
      <c r="G364" s="42"/>
      <c r="J364" s="44" t="s">
        <v>187</v>
      </c>
      <c r="K364" s="35">
        <v>0</v>
      </c>
      <c r="L364" s="35">
        <v>2.69E-2</v>
      </c>
      <c r="M364" s="35">
        <v>5.0000000000000001E-4</v>
      </c>
      <c r="N364" s="21"/>
      <c r="Q364" s="22"/>
      <c r="R364" s="2"/>
      <c r="S364" s="2"/>
      <c r="T364" s="2"/>
      <c r="U364" s="34">
        <f t="shared" si="5"/>
        <v>2.69E-2</v>
      </c>
    </row>
    <row r="365" spans="1:21" x14ac:dyDescent="0.2">
      <c r="A365" s="18" t="s">
        <v>1101</v>
      </c>
      <c r="B365" s="19" t="s">
        <v>1102</v>
      </c>
      <c r="C365" s="19" t="s">
        <v>1103</v>
      </c>
      <c r="D365" s="20">
        <v>2.367375574</v>
      </c>
      <c r="E365" s="20">
        <v>4.2336</v>
      </c>
      <c r="F365" s="1">
        <v>0</v>
      </c>
      <c r="G365" s="42"/>
      <c r="J365" s="44" t="s">
        <v>187</v>
      </c>
      <c r="K365" s="35">
        <v>7.0000000000000001E-3</v>
      </c>
      <c r="L365" s="35">
        <v>0.14410000000000001</v>
      </c>
      <c r="M365" s="35">
        <v>2.0000000000000001E-4</v>
      </c>
      <c r="N365" s="21"/>
      <c r="Q365" s="22"/>
      <c r="R365" s="2"/>
      <c r="S365" s="2"/>
      <c r="T365" s="2"/>
      <c r="U365" s="34">
        <f t="shared" si="5"/>
        <v>0.14410000000000001</v>
      </c>
    </row>
    <row r="366" spans="1:21" x14ac:dyDescent="0.2">
      <c r="A366" s="18" t="s">
        <v>1104</v>
      </c>
      <c r="B366" s="19" t="s">
        <v>1105</v>
      </c>
      <c r="C366" s="19" t="s">
        <v>1106</v>
      </c>
      <c r="D366" s="20">
        <v>8.5334041737500002</v>
      </c>
      <c r="E366" s="20">
        <v>13.426571509999999</v>
      </c>
      <c r="F366" s="1">
        <v>0</v>
      </c>
      <c r="G366" s="42" t="s">
        <v>187</v>
      </c>
      <c r="J366" s="44"/>
      <c r="K366" s="35">
        <v>0.97899999999999998</v>
      </c>
      <c r="L366" s="35">
        <v>2.8E-3</v>
      </c>
      <c r="M366" s="35">
        <v>0</v>
      </c>
      <c r="N366" s="21"/>
      <c r="Q366" s="22" t="s">
        <v>187</v>
      </c>
      <c r="R366" s="2"/>
      <c r="S366" s="2"/>
      <c r="T366" s="2"/>
      <c r="U366" s="34">
        <f t="shared" si="5"/>
        <v>0.97899999999999998</v>
      </c>
    </row>
    <row r="367" spans="1:21" x14ac:dyDescent="0.2">
      <c r="A367" s="18" t="s">
        <v>1107</v>
      </c>
      <c r="B367" s="19" t="s">
        <v>1108</v>
      </c>
      <c r="C367" s="19" t="s">
        <v>1109</v>
      </c>
      <c r="D367" s="20">
        <v>0.27555838649999997</v>
      </c>
      <c r="E367" s="20">
        <v>0.11761000000000001</v>
      </c>
      <c r="F367" s="1">
        <v>0</v>
      </c>
      <c r="G367" s="42"/>
      <c r="I367" s="43" t="s">
        <v>187</v>
      </c>
      <c r="J367" s="44"/>
      <c r="K367" s="35">
        <v>0</v>
      </c>
      <c r="L367" s="35">
        <v>0</v>
      </c>
      <c r="M367" s="35">
        <v>0.96519999999999995</v>
      </c>
      <c r="N367" s="21"/>
      <c r="O367" s="2" t="s">
        <v>187</v>
      </c>
      <c r="Q367" s="22"/>
      <c r="R367" s="2"/>
      <c r="S367" s="2"/>
      <c r="T367" s="2"/>
      <c r="U367" s="34">
        <f t="shared" si="5"/>
        <v>0.96519999999999995</v>
      </c>
    </row>
    <row r="368" spans="1:21" x14ac:dyDescent="0.2">
      <c r="A368" s="18" t="s">
        <v>1110</v>
      </c>
      <c r="B368" s="19" t="s">
        <v>1111</v>
      </c>
      <c r="C368" s="19" t="s">
        <v>1112</v>
      </c>
      <c r="D368" s="20">
        <v>5.5181898272499996</v>
      </c>
      <c r="E368" s="20">
        <v>21.011856377499999</v>
      </c>
      <c r="F368" s="1">
        <v>0.9022321479855806</v>
      </c>
      <c r="G368" s="42" t="s">
        <v>187</v>
      </c>
      <c r="J368" s="44"/>
      <c r="K368" s="35">
        <v>0.89059999999999995</v>
      </c>
      <c r="L368" s="35">
        <v>8.3299999999999999E-2</v>
      </c>
      <c r="M368" s="35">
        <v>0</v>
      </c>
      <c r="N368" s="21"/>
      <c r="Q368" s="22" t="s">
        <v>187</v>
      </c>
      <c r="R368" s="2"/>
      <c r="S368" s="2"/>
      <c r="T368" s="2"/>
      <c r="U368" s="34">
        <f t="shared" si="5"/>
        <v>0.89059999999999995</v>
      </c>
    </row>
    <row r="369" spans="1:21" x14ac:dyDescent="0.2">
      <c r="A369" s="18" t="s">
        <v>1113</v>
      </c>
      <c r="B369" s="19" t="s">
        <v>1114</v>
      </c>
      <c r="C369" s="19" t="s">
        <v>1115</v>
      </c>
      <c r="D369" s="20">
        <v>3.6930916035000001</v>
      </c>
      <c r="E369" s="20">
        <v>4.0522447326666668</v>
      </c>
      <c r="F369" s="1">
        <v>9.887475594343767E-2</v>
      </c>
      <c r="G369" s="42"/>
      <c r="J369" s="44" t="s">
        <v>187</v>
      </c>
      <c r="K369" s="35">
        <v>2.0500000000000001E-2</v>
      </c>
      <c r="L369" s="35">
        <v>1.46E-2</v>
      </c>
      <c r="M369" s="35">
        <v>0</v>
      </c>
      <c r="N369" s="21"/>
      <c r="Q369" s="22"/>
      <c r="R369" s="2"/>
      <c r="S369" s="2"/>
      <c r="T369" s="2"/>
      <c r="U369" s="34">
        <f t="shared" si="5"/>
        <v>2.0500000000000001E-2</v>
      </c>
    </row>
    <row r="370" spans="1:21" x14ac:dyDescent="0.2">
      <c r="A370" s="18" t="s">
        <v>1116</v>
      </c>
      <c r="B370" s="19" t="s">
        <v>1117</v>
      </c>
      <c r="C370" s="19" t="s">
        <v>1118</v>
      </c>
      <c r="D370" s="20">
        <v>0.52279626349999997</v>
      </c>
      <c r="E370" s="20">
        <v>0.26327</v>
      </c>
      <c r="F370" s="1">
        <v>6.9424629819845292</v>
      </c>
      <c r="G370" s="42"/>
      <c r="I370" s="43" t="s">
        <v>187</v>
      </c>
      <c r="J370" s="44"/>
      <c r="K370" s="35">
        <v>0</v>
      </c>
      <c r="L370" s="35">
        <v>0</v>
      </c>
      <c r="M370" s="35">
        <v>0.94540000000000002</v>
      </c>
      <c r="N370" s="21" t="s">
        <v>187</v>
      </c>
      <c r="Q370" s="22"/>
      <c r="R370" s="2"/>
      <c r="S370" s="2"/>
      <c r="T370" s="2"/>
      <c r="U370" s="34">
        <f t="shared" si="5"/>
        <v>0.94540000000000002</v>
      </c>
    </row>
    <row r="371" spans="1:21" x14ac:dyDescent="0.2">
      <c r="A371" s="18" t="s">
        <v>1119</v>
      </c>
      <c r="B371" s="19" t="s">
        <v>1120</v>
      </c>
      <c r="C371" s="19" t="s">
        <v>1121</v>
      </c>
      <c r="D371" s="20">
        <v>6.5719742377500001</v>
      </c>
      <c r="E371" s="20">
        <v>43.278559730000005</v>
      </c>
      <c r="F371" s="1">
        <v>0.6921232916048371</v>
      </c>
      <c r="G371" s="42" t="s">
        <v>187</v>
      </c>
      <c r="J371" s="44"/>
      <c r="K371" s="35">
        <v>0.49559999999999998</v>
      </c>
      <c r="L371" s="35">
        <v>0.35399999999999998</v>
      </c>
      <c r="M371" s="35">
        <v>0</v>
      </c>
      <c r="N371" s="21"/>
      <c r="Q371" s="22" t="s">
        <v>187</v>
      </c>
      <c r="R371" s="2"/>
      <c r="S371" s="2"/>
      <c r="T371" s="2"/>
      <c r="U371" s="34">
        <f t="shared" si="5"/>
        <v>0.49559999999999998</v>
      </c>
    </row>
    <row r="372" spans="1:21" x14ac:dyDescent="0.2">
      <c r="A372" s="18" t="s">
        <v>1122</v>
      </c>
      <c r="B372" s="19" t="s">
        <v>1123</v>
      </c>
      <c r="C372" s="19" t="s">
        <v>1124</v>
      </c>
      <c r="D372" s="20">
        <v>5.4545512980000002</v>
      </c>
      <c r="E372" s="20">
        <v>11.898777579999999</v>
      </c>
      <c r="F372" s="1">
        <v>0</v>
      </c>
      <c r="G372" s="42" t="s">
        <v>187</v>
      </c>
      <c r="J372" s="44"/>
      <c r="K372" s="35">
        <v>0.93410000000000004</v>
      </c>
      <c r="L372" s="35">
        <v>2.8799999999999999E-2</v>
      </c>
      <c r="M372" s="35">
        <v>0</v>
      </c>
      <c r="N372" s="21"/>
      <c r="Q372" s="22" t="s">
        <v>187</v>
      </c>
      <c r="R372" s="2"/>
      <c r="S372" s="2"/>
      <c r="T372" s="2"/>
      <c r="U372" s="34">
        <f t="shared" si="5"/>
        <v>0.93410000000000004</v>
      </c>
    </row>
    <row r="373" spans="1:21" x14ac:dyDescent="0.2">
      <c r="A373" s="18" t="s">
        <v>1125</v>
      </c>
      <c r="B373" s="19" t="s">
        <v>1126</v>
      </c>
      <c r="C373" s="19" t="s">
        <v>1127</v>
      </c>
      <c r="D373" s="20">
        <v>8.0562019159999991</v>
      </c>
      <c r="E373" s="20">
        <v>8.1068247575000001</v>
      </c>
      <c r="F373" s="1">
        <v>0.13504844714237535</v>
      </c>
      <c r="G373" s="42" t="s">
        <v>187</v>
      </c>
      <c r="J373" s="44"/>
      <c r="K373" s="35">
        <v>0.89910000000000001</v>
      </c>
      <c r="L373" s="35">
        <v>1.6999999999999999E-3</v>
      </c>
      <c r="M373" s="35">
        <v>0</v>
      </c>
      <c r="N373" s="21"/>
      <c r="Q373" s="22" t="s">
        <v>187</v>
      </c>
      <c r="R373" s="2"/>
      <c r="S373" s="2"/>
      <c r="T373" s="2"/>
      <c r="U373" s="34">
        <f t="shared" si="5"/>
        <v>0.89910000000000001</v>
      </c>
    </row>
    <row r="374" spans="1:21" x14ac:dyDescent="0.2">
      <c r="A374" s="18" t="s">
        <v>1128</v>
      </c>
      <c r="B374" s="19" t="s">
        <v>1129</v>
      </c>
      <c r="C374" s="19" t="s">
        <v>1130</v>
      </c>
      <c r="D374" s="20">
        <v>0.13390540125</v>
      </c>
      <c r="E374" s="20">
        <v>0.157004274</v>
      </c>
      <c r="F374" s="1">
        <v>0.65323996061515899</v>
      </c>
      <c r="G374" s="42"/>
      <c r="I374" s="43" t="s">
        <v>187</v>
      </c>
      <c r="J374" s="44"/>
      <c r="K374" s="35">
        <v>0</v>
      </c>
      <c r="L374" s="35">
        <v>0</v>
      </c>
      <c r="M374" s="35">
        <v>0.84519999999999995</v>
      </c>
      <c r="N374" s="21"/>
      <c r="O374" s="2" t="s">
        <v>187</v>
      </c>
      <c r="Q374" s="22"/>
      <c r="R374" s="2"/>
      <c r="S374" s="2"/>
      <c r="T374" s="2"/>
      <c r="U374" s="34">
        <f t="shared" si="5"/>
        <v>0.84519999999999995</v>
      </c>
    </row>
    <row r="375" spans="1:21" x14ac:dyDescent="0.2">
      <c r="A375" s="18" t="s">
        <v>1131</v>
      </c>
      <c r="B375" s="19" t="s">
        <v>1132</v>
      </c>
      <c r="C375" s="19" t="s">
        <v>1133</v>
      </c>
      <c r="D375" s="20">
        <v>1.489580385</v>
      </c>
      <c r="E375" s="20">
        <v>2.8289646905000003</v>
      </c>
      <c r="F375" s="1">
        <v>0.46141552773625888</v>
      </c>
      <c r="G375" s="42"/>
      <c r="J375" s="44" t="s">
        <v>187</v>
      </c>
      <c r="K375" s="35">
        <v>0</v>
      </c>
      <c r="L375" s="35">
        <v>7.5300000000000006E-2</v>
      </c>
      <c r="M375" s="35">
        <v>1.9800000000000002E-2</v>
      </c>
      <c r="N375" s="21"/>
      <c r="Q375" s="22"/>
      <c r="R375" s="2"/>
      <c r="S375" s="2"/>
      <c r="T375" s="2"/>
      <c r="U375" s="34">
        <f t="shared" si="5"/>
        <v>7.5300000000000006E-2</v>
      </c>
    </row>
    <row r="376" spans="1:21" x14ac:dyDescent="0.2">
      <c r="A376" s="18" t="s">
        <v>1134</v>
      </c>
      <c r="B376" s="19" t="s">
        <v>1135</v>
      </c>
      <c r="C376" s="19" t="s">
        <v>1136</v>
      </c>
      <c r="D376" s="20">
        <v>2.0089074192499998</v>
      </c>
      <c r="E376" s="20">
        <v>5.6288145972500008</v>
      </c>
      <c r="F376" s="1">
        <v>7.7946379521241038</v>
      </c>
      <c r="G376" s="42"/>
      <c r="J376" s="44" t="s">
        <v>187</v>
      </c>
      <c r="K376" s="35">
        <v>1.54E-2</v>
      </c>
      <c r="L376" s="35">
        <v>0.58699999999999997</v>
      </c>
      <c r="M376" s="35">
        <v>2.9999999999999997E-4</v>
      </c>
      <c r="N376" s="21"/>
      <c r="Q376" s="22"/>
      <c r="R376" s="2"/>
      <c r="S376" s="2"/>
      <c r="T376" s="2"/>
      <c r="U376" s="34">
        <f t="shared" si="5"/>
        <v>0.58699999999999997</v>
      </c>
    </row>
    <row r="377" spans="1:21" x14ac:dyDescent="0.2">
      <c r="A377" s="18" t="s">
        <v>1137</v>
      </c>
      <c r="B377" s="19" t="s">
        <v>1138</v>
      </c>
      <c r="C377" s="19" t="s">
        <v>1139</v>
      </c>
      <c r="D377" s="20">
        <v>5.7252117574999994</v>
      </c>
      <c r="E377" s="20">
        <v>22.810259372499999</v>
      </c>
      <c r="F377" s="1">
        <v>0.47588152806506545</v>
      </c>
      <c r="G377" s="42" t="s">
        <v>187</v>
      </c>
      <c r="J377" s="44"/>
      <c r="K377" s="35">
        <v>0.88500000000000001</v>
      </c>
      <c r="L377" s="35">
        <v>8.7400000000000005E-2</v>
      </c>
      <c r="M377" s="35">
        <v>0</v>
      </c>
      <c r="N377" s="21"/>
      <c r="Q377" s="22" t="s">
        <v>187</v>
      </c>
      <c r="R377" s="2"/>
      <c r="S377" s="2"/>
      <c r="T377" s="2"/>
      <c r="U377" s="34">
        <f t="shared" si="5"/>
        <v>0.88500000000000001</v>
      </c>
    </row>
    <row r="378" spans="1:21" x14ac:dyDescent="0.2">
      <c r="A378" s="18" t="s">
        <v>1140</v>
      </c>
      <c r="B378" s="19" t="s">
        <v>1141</v>
      </c>
      <c r="C378" s="19" t="s">
        <v>1142</v>
      </c>
      <c r="D378" s="20">
        <v>3.0347326775000001</v>
      </c>
      <c r="E378" s="20">
        <v>9.96830551575</v>
      </c>
      <c r="F378" s="1">
        <v>0.38898169380706954</v>
      </c>
      <c r="G378" s="42" t="s">
        <v>187</v>
      </c>
      <c r="J378" s="44"/>
      <c r="K378" s="35">
        <v>0.41460000000000002</v>
      </c>
      <c r="L378" s="35">
        <v>0.46139999999999998</v>
      </c>
      <c r="M378" s="35">
        <v>0</v>
      </c>
      <c r="N378" s="21"/>
      <c r="Q378" s="22" t="s">
        <v>187</v>
      </c>
      <c r="R378" s="2"/>
      <c r="S378" s="2"/>
      <c r="T378" s="2"/>
      <c r="U378" s="34">
        <f t="shared" si="5"/>
        <v>0.46139999999999998</v>
      </c>
    </row>
    <row r="379" spans="1:21" x14ac:dyDescent="0.2">
      <c r="A379" s="18" t="s">
        <v>1143</v>
      </c>
      <c r="B379" s="19" t="s">
        <v>1144</v>
      </c>
      <c r="C379" s="19" t="s">
        <v>1145</v>
      </c>
      <c r="D379" s="20">
        <v>5.8047338707499998</v>
      </c>
      <c r="E379" s="20">
        <v>9.5666546276666669</v>
      </c>
      <c r="F379" s="1">
        <v>2.3542262637323157</v>
      </c>
      <c r="G379" s="42" t="s">
        <v>187</v>
      </c>
      <c r="J379" s="44"/>
      <c r="K379" s="35">
        <v>0.91930000000000001</v>
      </c>
      <c r="L379" s="35">
        <v>1.55E-2</v>
      </c>
      <c r="M379" s="35">
        <v>0</v>
      </c>
      <c r="N379" s="21"/>
      <c r="Q379" s="22" t="s">
        <v>187</v>
      </c>
      <c r="R379" s="2"/>
      <c r="S379" s="2"/>
      <c r="T379" s="2"/>
      <c r="U379" s="34">
        <f t="shared" si="5"/>
        <v>0.91930000000000001</v>
      </c>
    </row>
    <row r="380" spans="1:21" x14ac:dyDescent="0.2">
      <c r="A380" s="18" t="s">
        <v>1146</v>
      </c>
      <c r="B380" s="19" t="s">
        <v>1147</v>
      </c>
      <c r="C380" s="19" t="s">
        <v>1148</v>
      </c>
      <c r="D380" s="20">
        <v>10.752937627750001</v>
      </c>
      <c r="E380" s="20">
        <v>12.462338339999999</v>
      </c>
      <c r="F380" s="1">
        <v>2.9086700356026083</v>
      </c>
      <c r="G380" s="42" t="s">
        <v>187</v>
      </c>
      <c r="J380" s="44"/>
      <c r="K380" s="35">
        <v>0.97860000000000003</v>
      </c>
      <c r="L380" s="35">
        <v>6.9999999999999999E-4</v>
      </c>
      <c r="M380" s="35">
        <v>0</v>
      </c>
      <c r="N380" s="21"/>
      <c r="Q380" s="22" t="s">
        <v>187</v>
      </c>
      <c r="R380" s="2"/>
      <c r="S380" s="2"/>
      <c r="T380" s="2"/>
      <c r="U380" s="34">
        <f t="shared" si="5"/>
        <v>0.97860000000000003</v>
      </c>
    </row>
    <row r="381" spans="1:21" x14ac:dyDescent="0.2">
      <c r="A381" s="18" t="s">
        <v>1149</v>
      </c>
      <c r="B381" s="19" t="s">
        <v>1150</v>
      </c>
      <c r="C381" s="19" t="s">
        <v>1151</v>
      </c>
      <c r="D381" s="20">
        <v>1.37090699625</v>
      </c>
      <c r="E381" s="20">
        <v>27.603683215</v>
      </c>
      <c r="F381" s="1">
        <v>0.57907648730887806</v>
      </c>
      <c r="G381" s="42"/>
      <c r="H381" s="43" t="s">
        <v>187</v>
      </c>
      <c r="J381" s="44"/>
      <c r="K381" s="35">
        <v>2.3E-3</v>
      </c>
      <c r="L381" s="35">
        <v>0.94820000000000004</v>
      </c>
      <c r="M381" s="35">
        <v>0</v>
      </c>
      <c r="N381" s="21"/>
      <c r="O381" s="2" t="s">
        <v>187</v>
      </c>
      <c r="Q381" s="22"/>
      <c r="R381" s="2"/>
      <c r="S381" s="2"/>
      <c r="T381" s="2"/>
      <c r="U381" s="34">
        <f t="shared" si="5"/>
        <v>0.94820000000000004</v>
      </c>
    </row>
    <row r="382" spans="1:21" x14ac:dyDescent="0.2">
      <c r="A382" s="18" t="s">
        <v>1152</v>
      </c>
      <c r="B382" s="19" t="s">
        <v>1153</v>
      </c>
      <c r="C382" s="19" t="s">
        <v>1154</v>
      </c>
      <c r="D382" s="20">
        <v>0.87430849474999994</v>
      </c>
      <c r="E382" s="20">
        <v>0.21068393933333332</v>
      </c>
      <c r="F382" s="1">
        <v>1.6529673766634345</v>
      </c>
      <c r="G382" s="42"/>
      <c r="I382" s="43" t="s">
        <v>187</v>
      </c>
      <c r="J382" s="44"/>
      <c r="K382" s="35">
        <v>0</v>
      </c>
      <c r="L382" s="35">
        <v>0</v>
      </c>
      <c r="M382" s="35">
        <v>0.67210000000000003</v>
      </c>
      <c r="N382" s="21"/>
      <c r="O382" s="2" t="s">
        <v>187</v>
      </c>
      <c r="Q382" s="22"/>
      <c r="R382" s="2"/>
      <c r="S382" s="2"/>
      <c r="T382" s="2"/>
      <c r="U382" s="34">
        <f t="shared" si="5"/>
        <v>0.67210000000000003</v>
      </c>
    </row>
    <row r="383" spans="1:21" x14ac:dyDescent="0.2">
      <c r="A383" s="18" t="s">
        <v>1155</v>
      </c>
      <c r="B383" s="19" t="s">
        <v>1156</v>
      </c>
      <c r="C383" s="19" t="s">
        <v>1157</v>
      </c>
      <c r="D383" s="20">
        <v>4.2565878074999999</v>
      </c>
      <c r="E383" s="20">
        <v>23.295471997500002</v>
      </c>
      <c r="F383" s="1">
        <v>1.0013357806773147</v>
      </c>
      <c r="G383" s="42" t="s">
        <v>187</v>
      </c>
      <c r="J383" s="44"/>
      <c r="K383" s="35">
        <v>0.64139999999999997</v>
      </c>
      <c r="L383" s="35">
        <v>0.31569999999999998</v>
      </c>
      <c r="M383" s="35">
        <v>0</v>
      </c>
      <c r="N383" s="21"/>
      <c r="Q383" s="22" t="s">
        <v>187</v>
      </c>
      <c r="R383" s="2"/>
      <c r="S383" s="2"/>
      <c r="T383" s="2"/>
      <c r="U383" s="34">
        <f t="shared" si="5"/>
        <v>0.64139999999999997</v>
      </c>
    </row>
    <row r="384" spans="1:21" x14ac:dyDescent="0.2">
      <c r="A384" s="18" t="s">
        <v>1158</v>
      </c>
      <c r="B384" s="19" t="s">
        <v>1159</v>
      </c>
      <c r="C384" s="19" t="s">
        <v>1160</v>
      </c>
      <c r="D384" s="20">
        <v>0.24783717749999998</v>
      </c>
      <c r="E384" s="20">
        <v>0.66372375633333325</v>
      </c>
      <c r="F384" s="1">
        <v>0.12584059847351312</v>
      </c>
      <c r="G384" s="42"/>
      <c r="I384" s="43" t="s">
        <v>187</v>
      </c>
      <c r="J384" s="44"/>
      <c r="K384" s="35">
        <v>0</v>
      </c>
      <c r="L384" s="35">
        <v>0</v>
      </c>
      <c r="M384" s="35">
        <v>0.9456</v>
      </c>
      <c r="N384" s="21"/>
      <c r="O384" s="2" t="s">
        <v>187</v>
      </c>
      <c r="Q384" s="22"/>
      <c r="R384" s="2"/>
      <c r="S384" s="2"/>
      <c r="T384" s="2"/>
      <c r="U384" s="34">
        <f t="shared" si="5"/>
        <v>0.9456</v>
      </c>
    </row>
    <row r="385" spans="1:21" x14ac:dyDescent="0.2">
      <c r="A385" s="18" t="s">
        <v>1161</v>
      </c>
      <c r="B385" s="19" t="s">
        <v>1162</v>
      </c>
      <c r="C385" s="19" t="s">
        <v>1163</v>
      </c>
      <c r="D385" s="20">
        <v>4.4965145612499997</v>
      </c>
      <c r="E385" s="20">
        <v>14.733274219</v>
      </c>
      <c r="F385" s="1">
        <v>0.95082957050474992</v>
      </c>
      <c r="G385" s="42" t="s">
        <v>187</v>
      </c>
      <c r="J385" s="44"/>
      <c r="K385" s="35">
        <v>0.85160000000000002</v>
      </c>
      <c r="L385" s="35">
        <v>0.1123</v>
      </c>
      <c r="M385" s="35">
        <v>0</v>
      </c>
      <c r="N385" s="21"/>
      <c r="Q385" s="22" t="s">
        <v>187</v>
      </c>
      <c r="R385" s="2"/>
      <c r="S385" s="2"/>
      <c r="T385" s="2"/>
      <c r="U385" s="34">
        <f t="shared" si="5"/>
        <v>0.85160000000000002</v>
      </c>
    </row>
    <row r="386" spans="1:21" x14ac:dyDescent="0.2">
      <c r="A386" s="18" t="s">
        <v>1164</v>
      </c>
      <c r="B386" s="19" t="s">
        <v>1165</v>
      </c>
      <c r="C386" s="19" t="s">
        <v>1166</v>
      </c>
      <c r="D386" s="20">
        <v>1.5608592967499999</v>
      </c>
      <c r="E386" s="20">
        <v>2.7326000000000001</v>
      </c>
      <c r="F386" s="1" t="s">
        <v>47</v>
      </c>
      <c r="G386" s="42"/>
      <c r="J386" s="44" t="s">
        <v>187</v>
      </c>
      <c r="K386" s="35">
        <v>0</v>
      </c>
      <c r="L386" s="35">
        <v>5.0599999999999999E-2</v>
      </c>
      <c r="M386" s="35">
        <v>1.52E-2</v>
      </c>
      <c r="N386" s="21"/>
      <c r="Q386" s="22"/>
      <c r="R386" s="2"/>
      <c r="S386" s="2"/>
      <c r="T386" s="2"/>
      <c r="U386" s="34">
        <f t="shared" ref="U386:U449" si="6">MAX(K386:M386)</f>
        <v>5.0599999999999999E-2</v>
      </c>
    </row>
    <row r="387" spans="1:21" x14ac:dyDescent="0.2">
      <c r="A387" s="18" t="s">
        <v>1167</v>
      </c>
      <c r="B387" s="19" t="s">
        <v>1168</v>
      </c>
      <c r="C387" s="19" t="s">
        <v>1169</v>
      </c>
      <c r="D387" s="20">
        <v>2.4443442895</v>
      </c>
      <c r="E387" s="20">
        <v>9.30742936575</v>
      </c>
      <c r="F387" s="1">
        <v>0.11163278896844528</v>
      </c>
      <c r="G387" s="42"/>
      <c r="H387" s="49" t="s">
        <v>187</v>
      </c>
      <c r="J387" s="44"/>
      <c r="K387" s="35">
        <v>0.1489</v>
      </c>
      <c r="L387" s="35">
        <v>0.72529999999999994</v>
      </c>
      <c r="M387" s="35">
        <v>0</v>
      </c>
      <c r="N387" s="21"/>
      <c r="O387" s="2" t="s">
        <v>187</v>
      </c>
      <c r="Q387" s="22"/>
      <c r="R387" s="2"/>
      <c r="S387" s="2"/>
      <c r="T387" s="2"/>
      <c r="U387" s="34">
        <f t="shared" si="6"/>
        <v>0.72529999999999994</v>
      </c>
    </row>
    <row r="388" spans="1:21" x14ac:dyDescent="0.2">
      <c r="A388" s="18" t="s">
        <v>1170</v>
      </c>
      <c r="B388" s="19" t="s">
        <v>1171</v>
      </c>
      <c r="C388" s="19" t="s">
        <v>1172</v>
      </c>
      <c r="D388" s="20">
        <v>1.8080410167499998</v>
      </c>
      <c r="E388" s="20">
        <v>11.846676613249999</v>
      </c>
      <c r="F388" s="1">
        <v>0.15274445056094343</v>
      </c>
      <c r="G388" s="42"/>
      <c r="H388" s="43" t="s">
        <v>187</v>
      </c>
      <c r="J388" s="44"/>
      <c r="K388" s="35">
        <v>2.6100000000000002E-2</v>
      </c>
      <c r="L388" s="35">
        <v>0.92830000000000001</v>
      </c>
      <c r="M388" s="35">
        <v>0</v>
      </c>
      <c r="N388" s="21"/>
      <c r="O388" s="2" t="s">
        <v>187</v>
      </c>
      <c r="Q388" s="22"/>
      <c r="R388" s="2"/>
      <c r="S388" s="2"/>
      <c r="T388" s="2"/>
      <c r="U388" s="34">
        <f t="shared" si="6"/>
        <v>0.92830000000000001</v>
      </c>
    </row>
    <row r="389" spans="1:21" x14ac:dyDescent="0.2">
      <c r="A389" s="18" t="s">
        <v>1173</v>
      </c>
      <c r="B389" s="19" t="s">
        <v>1174</v>
      </c>
      <c r="C389" s="19" t="s">
        <v>1175</v>
      </c>
      <c r="D389" s="20">
        <v>13.54079340775</v>
      </c>
      <c r="E389" s="20">
        <v>26.356841297500001</v>
      </c>
      <c r="F389" s="1">
        <v>0.53777129703185345</v>
      </c>
      <c r="G389" s="42" t="s">
        <v>187</v>
      </c>
      <c r="J389" s="44"/>
      <c r="K389" s="35">
        <v>0.97529999999999994</v>
      </c>
      <c r="L389" s="35">
        <v>2.8999999999999998E-3</v>
      </c>
      <c r="M389" s="35">
        <v>0</v>
      </c>
      <c r="N389" s="21"/>
      <c r="Q389" s="22" t="s">
        <v>187</v>
      </c>
      <c r="R389" s="2"/>
      <c r="S389" s="2"/>
      <c r="T389" s="2"/>
      <c r="U389" s="34">
        <f t="shared" si="6"/>
        <v>0.97529999999999994</v>
      </c>
    </row>
    <row r="390" spans="1:21" x14ac:dyDescent="0.2">
      <c r="A390" s="18" t="s">
        <v>1176</v>
      </c>
      <c r="B390" s="19" t="s">
        <v>1177</v>
      </c>
      <c r="C390" s="19" t="s">
        <v>1178</v>
      </c>
      <c r="D390" s="20">
        <v>11.006765832499999</v>
      </c>
      <c r="E390" s="20">
        <v>29.127459914999999</v>
      </c>
      <c r="F390" s="1">
        <v>0.62057796258460896</v>
      </c>
      <c r="G390" s="42" t="s">
        <v>187</v>
      </c>
      <c r="J390" s="44"/>
      <c r="K390" s="35">
        <v>0.96140000000000003</v>
      </c>
      <c r="L390" s="35">
        <v>1.12E-2</v>
      </c>
      <c r="M390" s="35">
        <v>0</v>
      </c>
      <c r="N390" s="21"/>
      <c r="Q390" s="22" t="s">
        <v>187</v>
      </c>
      <c r="R390" s="2"/>
      <c r="S390" s="2"/>
      <c r="T390" s="2"/>
      <c r="U390" s="34">
        <f t="shared" si="6"/>
        <v>0.96140000000000003</v>
      </c>
    </row>
    <row r="391" spans="1:21" x14ac:dyDescent="0.2">
      <c r="A391" s="18" t="s">
        <v>1179</v>
      </c>
      <c r="B391" s="19" t="s">
        <v>1180</v>
      </c>
      <c r="C391" s="19" t="s">
        <v>1181</v>
      </c>
      <c r="D391" s="20">
        <v>14.999376905</v>
      </c>
      <c r="E391" s="20">
        <v>22.5820419</v>
      </c>
      <c r="F391" s="1">
        <v>0.59185960142454697</v>
      </c>
      <c r="G391" s="42" t="s">
        <v>187</v>
      </c>
      <c r="J391" s="44"/>
      <c r="K391" s="35">
        <v>0.98129999999999995</v>
      </c>
      <c r="L391" s="35">
        <v>8.9999999999999998E-4</v>
      </c>
      <c r="M391" s="35">
        <v>0</v>
      </c>
      <c r="N391" s="21"/>
      <c r="Q391" s="22" t="s">
        <v>187</v>
      </c>
      <c r="R391" s="2"/>
      <c r="S391" s="2"/>
      <c r="T391" s="2"/>
      <c r="U391" s="34">
        <f t="shared" si="6"/>
        <v>0.98129999999999995</v>
      </c>
    </row>
    <row r="392" spans="1:21" x14ac:dyDescent="0.2">
      <c r="A392" s="18" t="s">
        <v>1182</v>
      </c>
      <c r="B392" s="19" t="s">
        <v>1183</v>
      </c>
      <c r="C392" s="19" t="s">
        <v>1184</v>
      </c>
      <c r="D392" s="20">
        <v>0.371782591</v>
      </c>
      <c r="E392" s="20">
        <v>20.1854629975</v>
      </c>
      <c r="F392" s="1">
        <v>5.7790403801718488</v>
      </c>
      <c r="G392" s="42"/>
      <c r="H392" s="43" t="s">
        <v>187</v>
      </c>
      <c r="J392" s="44"/>
      <c r="K392" s="35">
        <v>0</v>
      </c>
      <c r="L392" s="35">
        <v>0.83289999999999997</v>
      </c>
      <c r="M392" s="35">
        <v>2.5999999999999999E-3</v>
      </c>
      <c r="N392" s="21" t="s">
        <v>187</v>
      </c>
      <c r="Q392" s="22"/>
      <c r="R392" s="2"/>
      <c r="S392" s="2"/>
      <c r="T392" s="2"/>
      <c r="U392" s="34">
        <f t="shared" si="6"/>
        <v>0.83289999999999997</v>
      </c>
    </row>
    <row r="393" spans="1:21" x14ac:dyDescent="0.2">
      <c r="A393" s="18" t="s">
        <v>1185</v>
      </c>
      <c r="B393" s="19" t="s">
        <v>1186</v>
      </c>
      <c r="C393" s="19" t="s">
        <v>1187</v>
      </c>
      <c r="D393" s="20">
        <v>2.7502099250000001</v>
      </c>
      <c r="E393" s="20">
        <v>24.620089465</v>
      </c>
      <c r="F393" s="1">
        <v>0.35710616641287229</v>
      </c>
      <c r="G393" s="24" t="s">
        <v>187</v>
      </c>
      <c r="J393" s="44"/>
      <c r="K393" s="35">
        <v>0.1348</v>
      </c>
      <c r="L393" s="35">
        <v>0.81620000000000004</v>
      </c>
      <c r="M393" s="35">
        <v>0</v>
      </c>
      <c r="N393" s="21"/>
      <c r="Q393" s="22" t="s">
        <v>187</v>
      </c>
      <c r="R393" s="2"/>
      <c r="S393" s="2"/>
      <c r="T393" s="2"/>
      <c r="U393" s="34">
        <f t="shared" si="6"/>
        <v>0.81620000000000004</v>
      </c>
    </row>
    <row r="394" spans="1:21" x14ac:dyDescent="0.2">
      <c r="A394" s="18" t="s">
        <v>1188</v>
      </c>
      <c r="B394" s="19" t="s">
        <v>1189</v>
      </c>
      <c r="C394" s="19" t="s">
        <v>1190</v>
      </c>
      <c r="D394" s="20">
        <v>8.1484209357499999</v>
      </c>
      <c r="E394" s="20">
        <v>11.139837075499999</v>
      </c>
      <c r="F394" s="1">
        <v>0.38451293978007689</v>
      </c>
      <c r="G394" s="42" t="s">
        <v>187</v>
      </c>
      <c r="J394" s="44"/>
      <c r="K394" s="35">
        <v>0.96840000000000004</v>
      </c>
      <c r="L394" s="35">
        <v>2.5000000000000001E-3</v>
      </c>
      <c r="M394" s="35">
        <v>0</v>
      </c>
      <c r="N394" s="21"/>
      <c r="Q394" s="22" t="s">
        <v>187</v>
      </c>
      <c r="R394" s="2"/>
      <c r="S394" s="2"/>
      <c r="T394" s="2"/>
      <c r="U394" s="34">
        <f t="shared" si="6"/>
        <v>0.96840000000000004</v>
      </c>
    </row>
    <row r="395" spans="1:21" x14ac:dyDescent="0.2">
      <c r="A395" s="18" t="s">
        <v>1191</v>
      </c>
      <c r="B395" s="19" t="s">
        <v>1192</v>
      </c>
      <c r="C395" s="19" t="s">
        <v>1193</v>
      </c>
      <c r="D395" s="20">
        <v>2.2098307807499999</v>
      </c>
      <c r="E395" s="20">
        <v>14.484101098750001</v>
      </c>
      <c r="F395" s="1">
        <v>0.24693846082358789</v>
      </c>
      <c r="G395" s="42"/>
      <c r="H395" s="43" t="s">
        <v>187</v>
      </c>
      <c r="J395" s="44"/>
      <c r="K395" s="35">
        <v>8.6900000000000005E-2</v>
      </c>
      <c r="L395" s="35">
        <v>0.86750000000000005</v>
      </c>
      <c r="M395" s="35">
        <v>0</v>
      </c>
      <c r="N395" s="21"/>
      <c r="O395" s="2" t="s">
        <v>187</v>
      </c>
      <c r="Q395" s="22"/>
      <c r="R395" s="2"/>
      <c r="S395" s="2"/>
      <c r="T395" s="2"/>
      <c r="U395" s="34">
        <f t="shared" si="6"/>
        <v>0.86750000000000005</v>
      </c>
    </row>
    <row r="396" spans="1:21" x14ac:dyDescent="0.2">
      <c r="A396" s="18" t="s">
        <v>1194</v>
      </c>
      <c r="B396" s="19" t="s">
        <v>1195</v>
      </c>
      <c r="C396" s="19" t="s">
        <v>1196</v>
      </c>
      <c r="D396" s="20">
        <v>10.943940486500001</v>
      </c>
      <c r="E396" s="20">
        <v>20.276447503</v>
      </c>
      <c r="F396" s="1">
        <v>0.17303082290111621</v>
      </c>
      <c r="G396" s="42" t="s">
        <v>187</v>
      </c>
      <c r="J396" s="44"/>
      <c r="K396" s="35">
        <v>0.98360000000000003</v>
      </c>
      <c r="L396" s="35">
        <v>2.5999999999999999E-3</v>
      </c>
      <c r="M396" s="35">
        <v>0</v>
      </c>
      <c r="N396" s="21"/>
      <c r="Q396" s="22" t="s">
        <v>187</v>
      </c>
      <c r="R396" s="2"/>
      <c r="S396" s="2"/>
      <c r="T396" s="2"/>
      <c r="U396" s="34">
        <f t="shared" si="6"/>
        <v>0.98360000000000003</v>
      </c>
    </row>
    <row r="397" spans="1:21" x14ac:dyDescent="0.2">
      <c r="A397" s="18" t="s">
        <v>1197</v>
      </c>
      <c r="B397" s="19" t="s">
        <v>1198</v>
      </c>
      <c r="C397" s="19" t="s">
        <v>1199</v>
      </c>
      <c r="D397" s="20">
        <v>4.1488138432500001</v>
      </c>
      <c r="E397" s="20">
        <v>11.732698119</v>
      </c>
      <c r="F397" s="1">
        <v>0.27380701645882077</v>
      </c>
      <c r="G397" s="42" t="s">
        <v>187</v>
      </c>
      <c r="J397" s="44"/>
      <c r="K397" s="35">
        <v>0.80940000000000001</v>
      </c>
      <c r="L397" s="35">
        <v>0.1303</v>
      </c>
      <c r="M397" s="35">
        <v>0</v>
      </c>
      <c r="N397" s="21"/>
      <c r="Q397" s="22" t="s">
        <v>187</v>
      </c>
      <c r="R397" s="2"/>
      <c r="S397" s="2"/>
      <c r="T397" s="2"/>
      <c r="U397" s="34">
        <f t="shared" si="6"/>
        <v>0.80940000000000001</v>
      </c>
    </row>
    <row r="398" spans="1:21" x14ac:dyDescent="0.2">
      <c r="A398" s="18" t="s">
        <v>1200</v>
      </c>
      <c r="B398" s="19" t="s">
        <v>1201</v>
      </c>
      <c r="C398" s="19" t="s">
        <v>1202</v>
      </c>
      <c r="D398" s="20">
        <v>3.30150002825</v>
      </c>
      <c r="E398" s="20">
        <v>15.410130621249998</v>
      </c>
      <c r="F398" s="1">
        <v>0.3236795493074498</v>
      </c>
      <c r="G398" s="42" t="s">
        <v>187</v>
      </c>
      <c r="J398" s="44"/>
      <c r="K398" s="35">
        <v>0.50409999999999999</v>
      </c>
      <c r="L398" s="35">
        <v>0.44429999999999997</v>
      </c>
      <c r="M398" s="35">
        <v>0</v>
      </c>
      <c r="N398" s="21"/>
      <c r="Q398" s="22" t="s">
        <v>187</v>
      </c>
      <c r="R398" s="2"/>
      <c r="S398" s="2"/>
      <c r="T398" s="2"/>
      <c r="U398" s="34">
        <f t="shared" si="6"/>
        <v>0.50409999999999999</v>
      </c>
    </row>
    <row r="399" spans="1:21" x14ac:dyDescent="0.2">
      <c r="A399" s="18" t="s">
        <v>1203</v>
      </c>
      <c r="B399" s="19" t="s">
        <v>1204</v>
      </c>
      <c r="C399" s="19" t="s">
        <v>1205</v>
      </c>
      <c r="D399" s="20">
        <v>0.242610732</v>
      </c>
      <c r="E399" s="20">
        <v>1.51378668375</v>
      </c>
      <c r="F399" s="1">
        <v>0</v>
      </c>
      <c r="G399" s="42"/>
      <c r="I399" s="43" t="s">
        <v>187</v>
      </c>
      <c r="J399" s="44"/>
      <c r="K399" s="35">
        <v>0</v>
      </c>
      <c r="L399" s="35">
        <v>1.8700000000000001E-2</v>
      </c>
      <c r="M399" s="35">
        <v>0.8407</v>
      </c>
      <c r="N399" s="21"/>
      <c r="O399" s="2" t="s">
        <v>187</v>
      </c>
      <c r="Q399" s="22"/>
      <c r="R399" s="2"/>
      <c r="S399" s="2"/>
      <c r="T399" s="2"/>
      <c r="U399" s="34">
        <f t="shared" si="6"/>
        <v>0.8407</v>
      </c>
    </row>
    <row r="400" spans="1:21" x14ac:dyDescent="0.2">
      <c r="A400" s="18" t="s">
        <v>1206</v>
      </c>
      <c r="B400" s="19" t="s">
        <v>1207</v>
      </c>
      <c r="C400" s="19" t="s">
        <v>1208</v>
      </c>
      <c r="D400" s="20">
        <v>6.9858588843333349</v>
      </c>
      <c r="E400" s="20">
        <v>8.6794304530000002</v>
      </c>
      <c r="F400" s="1">
        <v>39.220319857612161</v>
      </c>
      <c r="G400" s="42" t="s">
        <v>187</v>
      </c>
      <c r="J400" s="44"/>
      <c r="K400" s="35">
        <v>0.9163</v>
      </c>
      <c r="L400" s="35">
        <v>4.4999999999999997E-3</v>
      </c>
      <c r="M400" s="35">
        <v>0</v>
      </c>
      <c r="N400" s="21"/>
      <c r="Q400" s="22" t="s">
        <v>187</v>
      </c>
      <c r="R400" s="2"/>
      <c r="S400" s="2"/>
      <c r="T400" s="2"/>
      <c r="U400" s="34">
        <f t="shared" si="6"/>
        <v>0.9163</v>
      </c>
    </row>
    <row r="401" spans="1:21" x14ac:dyDescent="0.2">
      <c r="A401" s="18" t="s">
        <v>1209</v>
      </c>
      <c r="B401" s="19" t="s">
        <v>1210</v>
      </c>
      <c r="C401" s="19" t="s">
        <v>1211</v>
      </c>
      <c r="D401" s="20">
        <v>0.26159443399999999</v>
      </c>
      <c r="E401" s="20">
        <v>0.13948668333333333</v>
      </c>
      <c r="F401" s="1">
        <v>0</v>
      </c>
      <c r="G401" s="42"/>
      <c r="I401" s="43" t="s">
        <v>187</v>
      </c>
      <c r="J401" s="44"/>
      <c r="K401" s="35">
        <v>0</v>
      </c>
      <c r="L401" s="35">
        <v>0</v>
      </c>
      <c r="M401" s="35">
        <v>0.96650000000000003</v>
      </c>
      <c r="N401" s="21" t="s">
        <v>187</v>
      </c>
      <c r="Q401" s="22"/>
      <c r="R401" s="2"/>
      <c r="S401" s="2"/>
      <c r="T401" s="2"/>
      <c r="U401" s="34">
        <f t="shared" si="6"/>
        <v>0.96650000000000003</v>
      </c>
    </row>
    <row r="402" spans="1:21" x14ac:dyDescent="0.2">
      <c r="A402" s="18" t="s">
        <v>1212</v>
      </c>
      <c r="B402" s="19" t="s">
        <v>1213</v>
      </c>
      <c r="C402" s="19" t="s">
        <v>1214</v>
      </c>
      <c r="D402" s="20">
        <v>0.17875302800000001</v>
      </c>
      <c r="E402" s="20">
        <v>0.24628843199999997</v>
      </c>
      <c r="F402" s="1">
        <v>0</v>
      </c>
      <c r="G402" s="42"/>
      <c r="I402" s="43" t="s">
        <v>187</v>
      </c>
      <c r="J402" s="44"/>
      <c r="K402" s="35">
        <v>0</v>
      </c>
      <c r="L402" s="35">
        <v>0</v>
      </c>
      <c r="M402" s="35">
        <v>0.93620000000000003</v>
      </c>
      <c r="N402" s="21"/>
      <c r="O402" s="2" t="s">
        <v>187</v>
      </c>
      <c r="Q402" s="22"/>
      <c r="R402" s="2"/>
      <c r="S402" s="2"/>
      <c r="T402" s="2"/>
      <c r="U402" s="34">
        <f t="shared" si="6"/>
        <v>0.93620000000000003</v>
      </c>
    </row>
    <row r="403" spans="1:21" x14ac:dyDescent="0.2">
      <c r="A403" s="18" t="s">
        <v>1215</v>
      </c>
      <c r="B403" s="19" t="s">
        <v>1216</v>
      </c>
      <c r="C403" s="19" t="s">
        <v>1217</v>
      </c>
      <c r="D403" s="20">
        <v>2.6528261495000001</v>
      </c>
      <c r="E403" s="20">
        <v>1.4440126680000001</v>
      </c>
      <c r="F403" s="1">
        <v>0.64983923198869797</v>
      </c>
      <c r="G403" s="42"/>
      <c r="J403" s="44" t="s">
        <v>187</v>
      </c>
      <c r="K403" s="35">
        <v>0</v>
      </c>
      <c r="L403" s="35">
        <v>0</v>
      </c>
      <c r="M403" s="35">
        <v>2.9999999999999997E-4</v>
      </c>
      <c r="N403" s="21" t="s">
        <v>187</v>
      </c>
      <c r="P403" s="2" t="s">
        <v>187</v>
      </c>
      <c r="Q403" s="22"/>
      <c r="R403" s="2"/>
      <c r="S403" s="2"/>
      <c r="T403" s="2"/>
      <c r="U403" s="34">
        <f t="shared" si="6"/>
        <v>2.9999999999999997E-4</v>
      </c>
    </row>
    <row r="404" spans="1:21" x14ac:dyDescent="0.2">
      <c r="A404" s="18" t="s">
        <v>1218</v>
      </c>
      <c r="B404" s="19" t="s">
        <v>1219</v>
      </c>
      <c r="C404" s="19" t="s">
        <v>1220</v>
      </c>
      <c r="D404" s="20">
        <v>1.8572815704999999</v>
      </c>
      <c r="E404" s="20">
        <v>11.810153741999999</v>
      </c>
      <c r="F404" s="1">
        <v>0.22246820087281816</v>
      </c>
      <c r="G404" s="42"/>
      <c r="H404" s="43" t="s">
        <v>187</v>
      </c>
      <c r="J404" s="44"/>
      <c r="K404" s="35">
        <v>3.1E-2</v>
      </c>
      <c r="L404" s="35">
        <v>0.92130000000000001</v>
      </c>
      <c r="M404" s="35">
        <v>0</v>
      </c>
      <c r="N404" s="21"/>
      <c r="O404" s="2" t="s">
        <v>187</v>
      </c>
      <c r="Q404" s="22"/>
      <c r="R404" s="2"/>
      <c r="S404" s="2"/>
      <c r="T404" s="2"/>
      <c r="U404" s="34">
        <f t="shared" si="6"/>
        <v>0.92130000000000001</v>
      </c>
    </row>
    <row r="405" spans="1:21" x14ac:dyDescent="0.2">
      <c r="A405" s="18" t="s">
        <v>1221</v>
      </c>
      <c r="B405" s="19" t="s">
        <v>1222</v>
      </c>
      <c r="C405" s="19" t="s">
        <v>1223</v>
      </c>
      <c r="D405" s="20">
        <v>0.44355421649999999</v>
      </c>
      <c r="E405" s="20">
        <v>10.689783886250002</v>
      </c>
      <c r="F405" s="1">
        <v>0.26506849465692894</v>
      </c>
      <c r="G405" s="42"/>
      <c r="H405" s="43" t="s">
        <v>187</v>
      </c>
      <c r="J405" s="44"/>
      <c r="K405" s="35">
        <v>0</v>
      </c>
      <c r="L405" s="35">
        <v>0.95830000000000004</v>
      </c>
      <c r="M405" s="35">
        <v>4.5999999999999999E-3</v>
      </c>
      <c r="N405" s="21"/>
      <c r="O405" s="2" t="s">
        <v>187</v>
      </c>
      <c r="Q405" s="22"/>
      <c r="R405" s="2"/>
      <c r="S405" s="2"/>
      <c r="T405" s="2"/>
      <c r="U405" s="34">
        <f t="shared" si="6"/>
        <v>0.95830000000000004</v>
      </c>
    </row>
    <row r="406" spans="1:21" x14ac:dyDescent="0.2">
      <c r="A406" s="18" t="s">
        <v>1224</v>
      </c>
      <c r="B406" s="19" t="s">
        <v>1225</v>
      </c>
      <c r="C406" s="19" t="s">
        <v>1226</v>
      </c>
      <c r="D406" s="20">
        <v>2.4647455557500004</v>
      </c>
      <c r="E406" s="20">
        <v>12.635951139999998</v>
      </c>
      <c r="F406" s="1">
        <v>52.744686291719738</v>
      </c>
      <c r="G406" s="42"/>
      <c r="H406" s="43" t="s">
        <v>187</v>
      </c>
      <c r="J406" s="44"/>
      <c r="K406" s="35">
        <v>0.16739999999999999</v>
      </c>
      <c r="L406" s="35">
        <v>0.76980000000000004</v>
      </c>
      <c r="M406" s="35">
        <v>0</v>
      </c>
      <c r="N406" s="21"/>
      <c r="O406" s="2" t="s">
        <v>187</v>
      </c>
      <c r="Q406" s="22"/>
      <c r="R406" s="2"/>
      <c r="S406" s="2"/>
      <c r="T406" s="2"/>
      <c r="U406" s="34">
        <f t="shared" si="6"/>
        <v>0.76980000000000004</v>
      </c>
    </row>
    <row r="407" spans="1:21" x14ac:dyDescent="0.2">
      <c r="A407" s="18" t="s">
        <v>1227</v>
      </c>
      <c r="B407" s="19" t="s">
        <v>1228</v>
      </c>
      <c r="C407" s="19" t="s">
        <v>1229</v>
      </c>
      <c r="D407" s="20">
        <v>21.008194177500002</v>
      </c>
      <c r="E407" s="20">
        <v>24.1618471775</v>
      </c>
      <c r="F407" s="1">
        <v>0.45830685719327591</v>
      </c>
      <c r="G407" s="42" t="s">
        <v>187</v>
      </c>
      <c r="J407" s="44"/>
      <c r="K407" s="35">
        <v>0.96889999999999998</v>
      </c>
      <c r="L407" s="35">
        <v>2.9999999999999997E-4</v>
      </c>
      <c r="M407" s="35">
        <v>0</v>
      </c>
      <c r="N407" s="21"/>
      <c r="Q407" s="22" t="s">
        <v>187</v>
      </c>
      <c r="R407" s="2"/>
      <c r="S407" s="2"/>
      <c r="T407" s="2"/>
      <c r="U407" s="34">
        <f t="shared" si="6"/>
        <v>0.96889999999999998</v>
      </c>
    </row>
    <row r="408" spans="1:21" x14ac:dyDescent="0.2">
      <c r="A408" s="18" t="s">
        <v>1230</v>
      </c>
      <c r="B408" s="19" t="s">
        <v>1231</v>
      </c>
      <c r="C408" s="19" t="s">
        <v>1232</v>
      </c>
      <c r="D408" s="20">
        <v>1.2687978095000001</v>
      </c>
      <c r="E408" s="20">
        <v>1.2780411006666665</v>
      </c>
      <c r="F408" s="1">
        <v>82.047289787119055</v>
      </c>
      <c r="G408" s="42"/>
      <c r="J408" s="44" t="s">
        <v>187</v>
      </c>
      <c r="K408" s="35">
        <v>0</v>
      </c>
      <c r="L408" s="35">
        <v>2.0000000000000001E-4</v>
      </c>
      <c r="M408" s="35">
        <v>0.13769999999999999</v>
      </c>
      <c r="N408" s="21"/>
      <c r="Q408" s="22"/>
      <c r="R408" s="2"/>
      <c r="S408" s="2"/>
      <c r="T408" s="2"/>
      <c r="U408" s="34">
        <f t="shared" si="6"/>
        <v>0.13769999999999999</v>
      </c>
    </row>
    <row r="409" spans="1:21" x14ac:dyDescent="0.2">
      <c r="A409" s="18" t="s">
        <v>1233</v>
      </c>
      <c r="B409" s="19" t="s">
        <v>1234</v>
      </c>
      <c r="C409" s="19" t="s">
        <v>1235</v>
      </c>
      <c r="D409" s="20">
        <v>8.4210523012500005</v>
      </c>
      <c r="E409" s="20">
        <v>11.53925728125</v>
      </c>
      <c r="F409" s="1">
        <v>3.7526826929661525</v>
      </c>
      <c r="G409" s="42" t="s">
        <v>187</v>
      </c>
      <c r="J409" s="44"/>
      <c r="K409" s="35">
        <v>0.97189999999999999</v>
      </c>
      <c r="L409" s="35">
        <v>2.2000000000000001E-3</v>
      </c>
      <c r="M409" s="35">
        <v>0</v>
      </c>
      <c r="N409" s="21"/>
      <c r="Q409" s="22" t="s">
        <v>187</v>
      </c>
      <c r="R409" s="2"/>
      <c r="S409" s="2"/>
      <c r="T409" s="2"/>
      <c r="U409" s="34">
        <f t="shared" si="6"/>
        <v>0.97189999999999999</v>
      </c>
    </row>
    <row r="410" spans="1:21" x14ac:dyDescent="0.2">
      <c r="A410" s="18" t="s">
        <v>1236</v>
      </c>
      <c r="B410" s="19" t="s">
        <v>1237</v>
      </c>
      <c r="C410" s="19" t="s">
        <v>1238</v>
      </c>
      <c r="D410" s="20">
        <v>0.83177499924999987</v>
      </c>
      <c r="E410" s="20">
        <v>19.850120435000001</v>
      </c>
      <c r="F410" s="1">
        <v>0.16405885430618433</v>
      </c>
      <c r="G410" s="42"/>
      <c r="H410" s="43" t="s">
        <v>187</v>
      </c>
      <c r="J410" s="44"/>
      <c r="K410" s="35">
        <v>1E-4</v>
      </c>
      <c r="L410" s="35">
        <v>0.96179999999999999</v>
      </c>
      <c r="M410" s="35">
        <v>2.0000000000000001E-4</v>
      </c>
      <c r="N410" s="21"/>
      <c r="O410" s="2" t="s">
        <v>187</v>
      </c>
      <c r="Q410" s="22"/>
      <c r="R410" s="2"/>
      <c r="S410" s="2"/>
      <c r="T410" s="2"/>
      <c r="U410" s="34">
        <f t="shared" si="6"/>
        <v>0.96179999999999999</v>
      </c>
    </row>
    <row r="411" spans="1:21" x14ac:dyDescent="0.2">
      <c r="A411" s="18" t="s">
        <v>1239</v>
      </c>
      <c r="B411" s="19" t="s">
        <v>1240</v>
      </c>
      <c r="C411" s="19" t="s">
        <v>1241</v>
      </c>
      <c r="D411" s="20">
        <v>0.50302807199999999</v>
      </c>
      <c r="E411" s="20">
        <v>0.53661999999999999</v>
      </c>
      <c r="F411" s="1">
        <v>0.23070776386830538</v>
      </c>
      <c r="G411" s="42"/>
      <c r="I411" s="43" t="s">
        <v>187</v>
      </c>
      <c r="J411" s="44"/>
      <c r="K411" s="35">
        <v>0</v>
      </c>
      <c r="L411" s="35">
        <v>0</v>
      </c>
      <c r="M411" s="35">
        <v>0.94330000000000003</v>
      </c>
      <c r="N411" s="21"/>
      <c r="O411" s="2" t="s">
        <v>187</v>
      </c>
      <c r="Q411" s="22"/>
      <c r="R411" s="2"/>
      <c r="S411" s="2"/>
      <c r="T411" s="2"/>
      <c r="U411" s="34">
        <f t="shared" si="6"/>
        <v>0.94330000000000003</v>
      </c>
    </row>
    <row r="412" spans="1:21" x14ac:dyDescent="0.2">
      <c r="A412" s="18" t="s">
        <v>1242</v>
      </c>
      <c r="B412" s="19" t="s">
        <v>1243</v>
      </c>
      <c r="C412" s="19" t="s">
        <v>1244</v>
      </c>
      <c r="D412" s="20">
        <v>0.243011435</v>
      </c>
      <c r="E412" s="20">
        <v>0.11123825400000001</v>
      </c>
      <c r="F412" s="1">
        <v>4.7732640800285255E-2</v>
      </c>
      <c r="G412" s="42"/>
      <c r="I412" s="43" t="s">
        <v>187</v>
      </c>
      <c r="J412" s="44"/>
      <c r="K412" s="35">
        <v>0</v>
      </c>
      <c r="L412" s="35">
        <v>0</v>
      </c>
      <c r="M412" s="35">
        <v>0.96089999999999998</v>
      </c>
      <c r="N412" s="21"/>
      <c r="O412" s="2" t="s">
        <v>187</v>
      </c>
      <c r="Q412" s="22"/>
      <c r="R412" s="2"/>
      <c r="S412" s="2"/>
      <c r="T412" s="2"/>
      <c r="U412" s="34">
        <f t="shared" si="6"/>
        <v>0.96089999999999998</v>
      </c>
    </row>
    <row r="413" spans="1:21" x14ac:dyDescent="0.2">
      <c r="A413" s="18" t="s">
        <v>1245</v>
      </c>
      <c r="B413" s="19" t="s">
        <v>1246</v>
      </c>
      <c r="C413" s="19" t="s">
        <v>1247</v>
      </c>
      <c r="D413" s="20">
        <v>0.24904416299999999</v>
      </c>
      <c r="E413" s="20">
        <v>0.14148712325000001</v>
      </c>
      <c r="F413" s="1">
        <v>0.23866320400141824</v>
      </c>
      <c r="G413" s="42"/>
      <c r="I413" s="43" t="s">
        <v>187</v>
      </c>
      <c r="J413" s="44"/>
      <c r="K413" s="35">
        <v>0</v>
      </c>
      <c r="L413" s="35">
        <v>0</v>
      </c>
      <c r="M413" s="35">
        <v>0.96530000000000005</v>
      </c>
      <c r="N413" s="21"/>
      <c r="O413" s="2" t="s">
        <v>187</v>
      </c>
      <c r="Q413" s="22"/>
      <c r="R413" s="2"/>
      <c r="S413" s="2"/>
      <c r="T413" s="2"/>
      <c r="U413" s="34">
        <f t="shared" si="6"/>
        <v>0.96530000000000005</v>
      </c>
    </row>
    <row r="414" spans="1:21" x14ac:dyDescent="0.2">
      <c r="A414" s="18" t="s">
        <v>1248</v>
      </c>
      <c r="B414" s="19" t="s">
        <v>1249</v>
      </c>
      <c r="C414" s="19" t="s">
        <v>1250</v>
      </c>
      <c r="D414" s="20">
        <v>0.34093503049999996</v>
      </c>
      <c r="E414" s="20">
        <v>0.2088932775</v>
      </c>
      <c r="F414" s="1">
        <v>0.17303082290105298</v>
      </c>
      <c r="G414" s="42"/>
      <c r="I414" s="43" t="s">
        <v>187</v>
      </c>
      <c r="J414" s="44"/>
      <c r="K414" s="35">
        <v>0</v>
      </c>
      <c r="L414" s="35">
        <v>0</v>
      </c>
      <c r="M414" s="35">
        <v>0.97050000000000003</v>
      </c>
      <c r="N414" s="21" t="s">
        <v>187</v>
      </c>
      <c r="Q414" s="22"/>
      <c r="R414" s="2"/>
      <c r="S414" s="2"/>
      <c r="T414" s="2"/>
      <c r="U414" s="34">
        <f t="shared" si="6"/>
        <v>0.97050000000000003</v>
      </c>
    </row>
    <row r="415" spans="1:21" x14ac:dyDescent="0.2">
      <c r="A415" s="18" t="s">
        <v>1251</v>
      </c>
      <c r="B415" s="19" t="s">
        <v>1252</v>
      </c>
      <c r="C415" s="19" t="s">
        <v>1253</v>
      </c>
      <c r="D415" s="20" t="s">
        <v>689</v>
      </c>
      <c r="E415" s="20">
        <v>0.17086999999999999</v>
      </c>
      <c r="F415" s="1">
        <v>0</v>
      </c>
      <c r="G415" s="42"/>
      <c r="I415" s="43" t="s">
        <v>187</v>
      </c>
      <c r="J415" s="44"/>
      <c r="K415" s="35" t="e">
        <v>#N/A</v>
      </c>
      <c r="L415" s="35" t="e">
        <v>#N/A</v>
      </c>
      <c r="M415" s="35" t="e">
        <v>#N/A</v>
      </c>
      <c r="N415" s="21"/>
      <c r="O415" s="2" t="s">
        <v>187</v>
      </c>
      <c r="Q415" s="22"/>
      <c r="R415" s="2"/>
      <c r="S415" s="2"/>
      <c r="T415" s="2"/>
      <c r="U415" s="34" t="e">
        <f t="shared" si="6"/>
        <v>#N/A</v>
      </c>
    </row>
    <row r="416" spans="1:21" x14ac:dyDescent="0.2">
      <c r="A416" s="18" t="s">
        <v>1254</v>
      </c>
      <c r="B416" s="19" t="s">
        <v>1255</v>
      </c>
      <c r="C416" s="19" t="s">
        <v>1256</v>
      </c>
      <c r="D416" s="20">
        <v>0.965903603</v>
      </c>
      <c r="E416" s="20">
        <v>0.64754</v>
      </c>
      <c r="F416" s="1">
        <v>0</v>
      </c>
      <c r="G416" s="42"/>
      <c r="I416" s="43" t="s">
        <v>187</v>
      </c>
      <c r="J416" s="44"/>
      <c r="K416" s="35">
        <v>0</v>
      </c>
      <c r="L416" s="35">
        <v>0</v>
      </c>
      <c r="M416" s="35">
        <v>0.55740000000000001</v>
      </c>
      <c r="N416" s="21"/>
      <c r="O416" s="2" t="s">
        <v>187</v>
      </c>
      <c r="Q416" s="22"/>
      <c r="R416" s="2"/>
      <c r="S416" s="2"/>
      <c r="T416" s="2"/>
      <c r="U416" s="34">
        <f t="shared" si="6"/>
        <v>0.55740000000000001</v>
      </c>
    </row>
    <row r="417" spans="1:21" x14ac:dyDescent="0.2">
      <c r="A417" s="18" t="s">
        <v>1257</v>
      </c>
      <c r="B417" s="19" t="s">
        <v>1258</v>
      </c>
      <c r="C417" s="19" t="s">
        <v>1259</v>
      </c>
      <c r="D417" s="20">
        <v>0.63085000000000002</v>
      </c>
      <c r="E417" s="20">
        <v>2.226</v>
      </c>
      <c r="F417" s="1">
        <v>0</v>
      </c>
      <c r="G417" s="42"/>
      <c r="I417" s="43" t="s">
        <v>187</v>
      </c>
      <c r="J417" s="44"/>
      <c r="K417" s="35">
        <v>0</v>
      </c>
      <c r="L417" s="35">
        <v>7.5600000000000001E-2</v>
      </c>
      <c r="M417" s="35">
        <v>0.64349999999999996</v>
      </c>
      <c r="N417" s="21" t="s">
        <v>187</v>
      </c>
      <c r="Q417" s="22"/>
      <c r="R417" s="2"/>
      <c r="S417" s="2"/>
      <c r="T417" s="2"/>
      <c r="U417" s="34">
        <f t="shared" si="6"/>
        <v>0.64349999999999996</v>
      </c>
    </row>
    <row r="418" spans="1:21" x14ac:dyDescent="0.2">
      <c r="A418" s="18" t="s">
        <v>1260</v>
      </c>
      <c r="B418" s="19" t="s">
        <v>1261</v>
      </c>
      <c r="C418" s="19" t="s">
        <v>1262</v>
      </c>
      <c r="D418" s="20">
        <v>12.227136022666668</v>
      </c>
      <c r="E418" s="20">
        <v>12.693343785</v>
      </c>
      <c r="F418" s="1">
        <v>0.41527397496336654</v>
      </c>
      <c r="G418" s="42" t="s">
        <v>187</v>
      </c>
      <c r="J418" s="44"/>
      <c r="K418" s="35">
        <v>0.97870000000000001</v>
      </c>
      <c r="L418" s="35">
        <v>4.0000000000000002E-4</v>
      </c>
      <c r="M418" s="35">
        <v>0</v>
      </c>
      <c r="N418" s="21"/>
      <c r="P418" s="2" t="s">
        <v>187</v>
      </c>
      <c r="Q418" s="22"/>
      <c r="R418" s="2"/>
      <c r="S418" s="2"/>
      <c r="T418" s="2"/>
      <c r="U418" s="34">
        <f t="shared" si="6"/>
        <v>0.97870000000000001</v>
      </c>
    </row>
    <row r="419" spans="1:21" x14ac:dyDescent="0.2">
      <c r="A419" s="18" t="s">
        <v>1263</v>
      </c>
      <c r="B419" s="19" t="s">
        <v>1264</v>
      </c>
      <c r="C419" s="19" t="s">
        <v>1265</v>
      </c>
      <c r="D419" s="20">
        <v>0.38774343675</v>
      </c>
      <c r="E419" s="20">
        <v>0.97304888425000013</v>
      </c>
      <c r="F419" s="1">
        <v>0.21126314595662665</v>
      </c>
      <c r="G419" s="42"/>
      <c r="I419" s="43" t="s">
        <v>187</v>
      </c>
      <c r="J419" s="44"/>
      <c r="K419" s="35">
        <v>0</v>
      </c>
      <c r="L419" s="35">
        <v>1E-4</v>
      </c>
      <c r="M419" s="35">
        <v>0.93769999999999998</v>
      </c>
      <c r="N419" s="21"/>
      <c r="O419" s="2" t="s">
        <v>187</v>
      </c>
      <c r="Q419" s="22"/>
      <c r="R419" s="2"/>
      <c r="S419" s="2"/>
      <c r="T419" s="2"/>
      <c r="U419" s="34">
        <f t="shared" si="6"/>
        <v>0.93769999999999998</v>
      </c>
    </row>
    <row r="420" spans="1:21" x14ac:dyDescent="0.2">
      <c r="A420" s="18" t="s">
        <v>1266</v>
      </c>
      <c r="B420" s="19" t="s">
        <v>1267</v>
      </c>
      <c r="C420" s="19" t="s">
        <v>1268</v>
      </c>
      <c r="D420" s="20">
        <v>2.3555310453333331</v>
      </c>
      <c r="E420" s="20">
        <v>2.1425999999999998</v>
      </c>
      <c r="F420" s="1">
        <v>0.76133562076453776</v>
      </c>
      <c r="G420" s="42"/>
      <c r="J420" s="44" t="s">
        <v>187</v>
      </c>
      <c r="K420" s="35">
        <v>0</v>
      </c>
      <c r="L420" s="35">
        <v>1.1000000000000001E-3</v>
      </c>
      <c r="M420" s="35">
        <v>5.9999999999999995E-4</v>
      </c>
      <c r="N420" s="21" t="s">
        <v>187</v>
      </c>
      <c r="Q420" s="22"/>
      <c r="R420" s="2"/>
      <c r="S420" s="2"/>
      <c r="T420" s="2"/>
      <c r="U420" s="34">
        <f t="shared" si="6"/>
        <v>1.1000000000000001E-3</v>
      </c>
    </row>
    <row r="421" spans="1:21" x14ac:dyDescent="0.2">
      <c r="A421" s="18" t="s">
        <v>1269</v>
      </c>
      <c r="B421" s="19" t="s">
        <v>1270</v>
      </c>
      <c r="C421" s="19" t="s">
        <v>1271</v>
      </c>
      <c r="D421" s="20">
        <v>4.27026189525</v>
      </c>
      <c r="E421" s="20">
        <v>16.992216402499999</v>
      </c>
      <c r="F421" s="1">
        <v>0.28074860279152791</v>
      </c>
      <c r="G421" s="42" t="s">
        <v>187</v>
      </c>
      <c r="J421" s="44"/>
      <c r="K421" s="35">
        <v>0.7843</v>
      </c>
      <c r="L421" s="35">
        <v>0.17960000000000001</v>
      </c>
      <c r="M421" s="35">
        <v>0</v>
      </c>
      <c r="N421" s="21"/>
      <c r="Q421" s="22" t="s">
        <v>187</v>
      </c>
      <c r="R421" s="2"/>
      <c r="S421" s="2"/>
      <c r="T421" s="2"/>
      <c r="U421" s="34">
        <f t="shared" si="6"/>
        <v>0.7843</v>
      </c>
    </row>
    <row r="422" spans="1:21" x14ac:dyDescent="0.2">
      <c r="A422" s="18" t="s">
        <v>1272</v>
      </c>
      <c r="B422" s="19" t="s">
        <v>1273</v>
      </c>
      <c r="C422" s="19" t="s">
        <v>1271</v>
      </c>
      <c r="D422" s="20">
        <v>1.477088473</v>
      </c>
      <c r="E422" s="20">
        <v>10.589881898</v>
      </c>
      <c r="F422" s="1">
        <v>0.23329998593396623</v>
      </c>
      <c r="G422" s="42"/>
      <c r="H422" s="43" t="s">
        <v>187</v>
      </c>
      <c r="J422" s="44"/>
      <c r="K422" s="35">
        <v>6.3E-3</v>
      </c>
      <c r="L422" s="35">
        <v>0.95279999999999998</v>
      </c>
      <c r="M422" s="35">
        <v>1E-4</v>
      </c>
      <c r="N422" s="21"/>
      <c r="O422" s="2" t="s">
        <v>187</v>
      </c>
      <c r="Q422" s="22"/>
      <c r="R422" s="2"/>
      <c r="S422" s="2"/>
      <c r="T422" s="2"/>
      <c r="U422" s="34">
        <f t="shared" si="6"/>
        <v>0.95279999999999998</v>
      </c>
    </row>
    <row r="423" spans="1:21" x14ac:dyDescent="0.2">
      <c r="A423" s="18" t="s">
        <v>1274</v>
      </c>
      <c r="B423" s="19" t="s">
        <v>1275</v>
      </c>
      <c r="C423" s="19" t="s">
        <v>1276</v>
      </c>
      <c r="D423" s="20">
        <v>2.4185923689999997</v>
      </c>
      <c r="E423" s="20">
        <v>3.3121605719999998</v>
      </c>
      <c r="F423" s="1" t="s">
        <v>47</v>
      </c>
      <c r="G423" s="42"/>
      <c r="J423" s="44" t="s">
        <v>187</v>
      </c>
      <c r="K423" s="35">
        <v>8.0000000000000004E-4</v>
      </c>
      <c r="L423" s="35">
        <v>2.9499999999999998E-2</v>
      </c>
      <c r="M423" s="35">
        <v>2.9999999999999997E-4</v>
      </c>
      <c r="N423" s="21"/>
      <c r="Q423" s="22"/>
      <c r="R423" s="2"/>
      <c r="S423" s="2"/>
      <c r="T423" s="2"/>
      <c r="U423" s="34">
        <f t="shared" si="6"/>
        <v>2.9499999999999998E-2</v>
      </c>
    </row>
    <row r="424" spans="1:21" x14ac:dyDescent="0.2">
      <c r="A424" s="18" t="s">
        <v>1277</v>
      </c>
      <c r="B424" s="19" t="s">
        <v>1278</v>
      </c>
      <c r="C424" s="19" t="s">
        <v>1279</v>
      </c>
      <c r="D424" s="20">
        <v>0.89099143866666675</v>
      </c>
      <c r="E424" s="20">
        <v>3.1860484515000005</v>
      </c>
      <c r="F424" s="1">
        <v>0.9393101814628213</v>
      </c>
      <c r="G424" s="42"/>
      <c r="J424" s="44" t="s">
        <v>187</v>
      </c>
      <c r="K424" s="35">
        <v>0</v>
      </c>
      <c r="L424" s="35">
        <v>0.39900000000000002</v>
      </c>
      <c r="M424" s="35">
        <v>0.16159999999999999</v>
      </c>
      <c r="N424" s="21"/>
      <c r="Q424" s="22"/>
      <c r="R424" s="2"/>
      <c r="S424" s="2"/>
      <c r="T424" s="2"/>
      <c r="U424" s="34">
        <f t="shared" si="6"/>
        <v>0.39900000000000002</v>
      </c>
    </row>
    <row r="425" spans="1:21" x14ac:dyDescent="0.2">
      <c r="A425" s="18" t="s">
        <v>1280</v>
      </c>
      <c r="B425" s="19" t="s">
        <v>1281</v>
      </c>
      <c r="C425" s="19" t="s">
        <v>1282</v>
      </c>
      <c r="D425" s="20">
        <v>1.8492999999999999</v>
      </c>
      <c r="E425" s="20">
        <v>6.4669999999999996</v>
      </c>
      <c r="F425" s="1">
        <v>1.0706720507934964</v>
      </c>
      <c r="G425" s="42"/>
      <c r="J425" s="44" t="s">
        <v>187</v>
      </c>
      <c r="K425" s="35">
        <v>1.4E-2</v>
      </c>
      <c r="L425" s="35">
        <v>0.76680000000000004</v>
      </c>
      <c r="M425" s="35">
        <v>2.0000000000000001E-4</v>
      </c>
      <c r="N425" s="21"/>
      <c r="Q425" s="22"/>
      <c r="R425" s="2"/>
      <c r="S425" s="2"/>
      <c r="T425" s="2"/>
      <c r="U425" s="34">
        <f t="shared" si="6"/>
        <v>0.76680000000000004</v>
      </c>
    </row>
    <row r="426" spans="1:21" x14ac:dyDescent="0.2">
      <c r="A426" s="18" t="s">
        <v>1283</v>
      </c>
      <c r="B426" s="19" t="s">
        <v>1284</v>
      </c>
      <c r="C426" s="19" t="s">
        <v>1285</v>
      </c>
      <c r="D426" s="20">
        <v>16.199232705</v>
      </c>
      <c r="E426" s="20">
        <v>15.6325505325</v>
      </c>
      <c r="F426" s="1">
        <v>0.63650624138632694</v>
      </c>
      <c r="G426" s="42" t="s">
        <v>187</v>
      </c>
      <c r="J426" s="44"/>
      <c r="K426" s="35">
        <v>0.98089999999999999</v>
      </c>
      <c r="L426" s="35">
        <v>2.0000000000000001E-4</v>
      </c>
      <c r="M426" s="35">
        <v>0</v>
      </c>
      <c r="N426" s="21"/>
      <c r="Q426" s="22" t="s">
        <v>187</v>
      </c>
      <c r="R426" s="2"/>
      <c r="S426" s="2"/>
      <c r="T426" s="2"/>
      <c r="U426" s="34">
        <f t="shared" si="6"/>
        <v>0.98089999999999999</v>
      </c>
    </row>
    <row r="427" spans="1:21" x14ac:dyDescent="0.2">
      <c r="A427" s="18" t="s">
        <v>1286</v>
      </c>
      <c r="B427" s="19" t="s">
        <v>1287</v>
      </c>
      <c r="C427" s="19" t="s">
        <v>1288</v>
      </c>
      <c r="D427" s="20">
        <v>0.45390836200000001</v>
      </c>
      <c r="E427" s="20">
        <v>7.4091729975000007</v>
      </c>
      <c r="F427" s="1">
        <v>0.17882611362019429</v>
      </c>
      <c r="G427" s="42"/>
      <c r="H427" s="43" t="s">
        <v>187</v>
      </c>
      <c r="J427" s="44"/>
      <c r="K427" s="35">
        <v>0</v>
      </c>
      <c r="L427" s="35">
        <v>0.94920000000000004</v>
      </c>
      <c r="M427" s="35">
        <v>1.2800000000000001E-2</v>
      </c>
      <c r="N427" s="21"/>
      <c r="O427" s="2" t="s">
        <v>187</v>
      </c>
      <c r="P427" s="2" t="s">
        <v>187</v>
      </c>
      <c r="Q427" s="22"/>
      <c r="R427" s="2"/>
      <c r="S427" s="2"/>
      <c r="T427" s="2"/>
      <c r="U427" s="34">
        <f t="shared" si="6"/>
        <v>0.94920000000000004</v>
      </c>
    </row>
    <row r="428" spans="1:21" x14ac:dyDescent="0.2">
      <c r="A428" s="18" t="s">
        <v>1289</v>
      </c>
      <c r="B428" s="19" t="s">
        <v>1290</v>
      </c>
      <c r="C428" s="19" t="s">
        <v>1291</v>
      </c>
      <c r="D428" s="20">
        <v>7.2473820470000003</v>
      </c>
      <c r="E428" s="20">
        <v>18.4485450775</v>
      </c>
      <c r="F428" s="1">
        <v>0.64658886452522435</v>
      </c>
      <c r="G428" s="42" t="s">
        <v>187</v>
      </c>
      <c r="J428" s="44"/>
      <c r="K428" s="35">
        <v>0.96870000000000001</v>
      </c>
      <c r="L428" s="35">
        <v>1.4999999999999999E-2</v>
      </c>
      <c r="M428" s="35">
        <v>0</v>
      </c>
      <c r="N428" s="21"/>
      <c r="Q428" s="22" t="s">
        <v>187</v>
      </c>
      <c r="R428" s="2"/>
      <c r="S428" s="2"/>
      <c r="T428" s="2"/>
      <c r="U428" s="34">
        <f t="shared" si="6"/>
        <v>0.96870000000000001</v>
      </c>
    </row>
    <row r="429" spans="1:21" x14ac:dyDescent="0.2">
      <c r="A429" s="18" t="s">
        <v>1292</v>
      </c>
      <c r="B429" s="19" t="s">
        <v>1293</v>
      </c>
      <c r="C429" s="19" t="s">
        <v>1294</v>
      </c>
      <c r="D429" s="20">
        <v>0.18516521749999998</v>
      </c>
      <c r="E429" s="20">
        <v>0.19004611025000001</v>
      </c>
      <c r="F429" s="1">
        <v>0.30035539069619177</v>
      </c>
      <c r="G429" s="42"/>
      <c r="I429" s="43" t="s">
        <v>187</v>
      </c>
      <c r="J429" s="44"/>
      <c r="K429" s="35">
        <v>0</v>
      </c>
      <c r="L429" s="35">
        <v>0</v>
      </c>
      <c r="M429" s="35">
        <v>0.94389999999999996</v>
      </c>
      <c r="N429" s="21"/>
      <c r="O429" s="2" t="s">
        <v>187</v>
      </c>
      <c r="Q429" s="22"/>
      <c r="R429" s="2"/>
      <c r="S429" s="2"/>
      <c r="T429" s="2"/>
      <c r="U429" s="34">
        <f t="shared" si="6"/>
        <v>0.94389999999999996</v>
      </c>
    </row>
    <row r="430" spans="1:21" x14ac:dyDescent="0.2">
      <c r="A430" s="18" t="s">
        <v>1295</v>
      </c>
      <c r="B430" s="19" t="s">
        <v>1296</v>
      </c>
      <c r="C430" s="19" t="s">
        <v>1297</v>
      </c>
      <c r="D430" s="20">
        <v>0.37890164874999999</v>
      </c>
      <c r="E430" s="20">
        <v>0.260688103</v>
      </c>
      <c r="F430" s="1">
        <v>0</v>
      </c>
      <c r="G430" s="42"/>
      <c r="I430" s="43" t="s">
        <v>187</v>
      </c>
      <c r="J430" s="44"/>
      <c r="K430" s="35">
        <v>0</v>
      </c>
      <c r="L430" s="35">
        <v>0</v>
      </c>
      <c r="M430" s="35">
        <v>0.96860000000000002</v>
      </c>
      <c r="N430" s="21"/>
      <c r="O430" s="2" t="s">
        <v>187</v>
      </c>
      <c r="Q430" s="22"/>
      <c r="R430" s="2"/>
      <c r="S430" s="2"/>
      <c r="T430" s="2"/>
      <c r="U430" s="34">
        <f t="shared" si="6"/>
        <v>0.96860000000000002</v>
      </c>
    </row>
    <row r="431" spans="1:21" x14ac:dyDescent="0.2">
      <c r="A431" s="18" t="s">
        <v>1298</v>
      </c>
      <c r="B431" s="19" t="s">
        <v>1299</v>
      </c>
      <c r="C431" s="19" t="s">
        <v>1300</v>
      </c>
      <c r="D431" s="20">
        <v>0.29506835966666667</v>
      </c>
      <c r="E431" s="20">
        <v>0.26251626049999999</v>
      </c>
      <c r="F431" s="1">
        <v>0.25784985373489916</v>
      </c>
      <c r="G431" s="42"/>
      <c r="I431" s="43" t="s">
        <v>187</v>
      </c>
      <c r="J431" s="44"/>
      <c r="K431" s="35">
        <v>0</v>
      </c>
      <c r="L431" s="35">
        <v>0</v>
      </c>
      <c r="M431" s="35">
        <v>0.9708</v>
      </c>
      <c r="N431" s="21"/>
      <c r="O431" s="2" t="s">
        <v>187</v>
      </c>
      <c r="Q431" s="22"/>
      <c r="R431" s="2"/>
      <c r="S431" s="2"/>
      <c r="T431" s="2"/>
      <c r="U431" s="34">
        <f t="shared" si="6"/>
        <v>0.9708</v>
      </c>
    </row>
    <row r="432" spans="1:21" x14ac:dyDescent="0.2">
      <c r="A432" s="18" t="s">
        <v>1301</v>
      </c>
      <c r="B432" s="19" t="s">
        <v>1302</v>
      </c>
      <c r="C432" s="19" t="s">
        <v>1303</v>
      </c>
      <c r="D432" s="20">
        <v>6.4728386122499995</v>
      </c>
      <c r="E432" s="20">
        <v>11.727980694999999</v>
      </c>
      <c r="F432" s="1">
        <v>1.9623462974295462</v>
      </c>
      <c r="G432" s="42" t="s">
        <v>187</v>
      </c>
      <c r="J432" s="44"/>
      <c r="K432" s="35">
        <v>0.95899999999999996</v>
      </c>
      <c r="L432" s="35">
        <v>1.0500000000000001E-2</v>
      </c>
      <c r="M432" s="35">
        <v>0</v>
      </c>
      <c r="N432" s="21"/>
      <c r="Q432" s="22" t="s">
        <v>187</v>
      </c>
      <c r="R432" s="2"/>
      <c r="S432" s="2"/>
      <c r="T432" s="2"/>
      <c r="U432" s="34">
        <f t="shared" si="6"/>
        <v>0.95899999999999996</v>
      </c>
    </row>
    <row r="433" spans="1:21" x14ac:dyDescent="0.2">
      <c r="A433" s="18" t="s">
        <v>1304</v>
      </c>
      <c r="B433" s="19" t="s">
        <v>1305</v>
      </c>
      <c r="C433" s="19" t="s">
        <v>1306</v>
      </c>
      <c r="D433" s="20">
        <v>0.65131534425000004</v>
      </c>
      <c r="E433" s="20">
        <v>7.177805846</v>
      </c>
      <c r="F433" s="1">
        <v>9.0770267751413808E-2</v>
      </c>
      <c r="G433" s="42"/>
      <c r="H433" s="43" t="s">
        <v>187</v>
      </c>
      <c r="J433" s="44"/>
      <c r="K433" s="35">
        <v>0</v>
      </c>
      <c r="L433" s="35">
        <v>0.95420000000000005</v>
      </c>
      <c r="M433" s="35">
        <v>7.9000000000000008E-3</v>
      </c>
      <c r="N433" s="21" t="s">
        <v>187</v>
      </c>
      <c r="Q433" s="22"/>
      <c r="R433" s="2"/>
      <c r="S433" s="2"/>
      <c r="T433" s="2"/>
      <c r="U433" s="34">
        <f t="shared" si="6"/>
        <v>0.95420000000000005</v>
      </c>
    </row>
    <row r="434" spans="1:21" x14ac:dyDescent="0.2">
      <c r="A434" s="18" t="s">
        <v>1307</v>
      </c>
      <c r="B434" s="19" t="s">
        <v>1308</v>
      </c>
      <c r="C434" s="19" t="s">
        <v>1309</v>
      </c>
      <c r="D434" s="20">
        <v>3.7797903989999999</v>
      </c>
      <c r="E434" s="20">
        <v>2.7119499140000003</v>
      </c>
      <c r="F434" s="1">
        <v>0.38810651865660961</v>
      </c>
      <c r="G434" s="42"/>
      <c r="J434" s="44" t="s">
        <v>187</v>
      </c>
      <c r="K434" s="35">
        <v>2.9999999999999997E-4</v>
      </c>
      <c r="L434" s="35">
        <v>5.9999999999999995E-4</v>
      </c>
      <c r="M434" s="35">
        <v>0</v>
      </c>
      <c r="N434" s="21"/>
      <c r="Q434" s="22"/>
      <c r="R434" s="2"/>
      <c r="S434" s="2"/>
      <c r="T434" s="2"/>
      <c r="U434" s="34">
        <f t="shared" si="6"/>
        <v>5.9999999999999995E-4</v>
      </c>
    </row>
    <row r="435" spans="1:21" x14ac:dyDescent="0.2">
      <c r="A435" s="18" t="s">
        <v>1310</v>
      </c>
      <c r="B435" s="19" t="s">
        <v>1311</v>
      </c>
      <c r="C435" s="19" t="s">
        <v>1312</v>
      </c>
      <c r="D435" s="20">
        <v>0.26749739425000002</v>
      </c>
      <c r="E435" s="20">
        <v>6.8626563249999994E-2</v>
      </c>
      <c r="F435" s="1">
        <v>8.0479452512267097E-2</v>
      </c>
      <c r="G435" s="42"/>
      <c r="I435" s="43" t="s">
        <v>187</v>
      </c>
      <c r="J435" s="44"/>
      <c r="K435" s="35">
        <v>0</v>
      </c>
      <c r="L435" s="35">
        <v>0</v>
      </c>
      <c r="M435" s="35">
        <v>0.94920000000000004</v>
      </c>
      <c r="N435" s="21"/>
      <c r="O435" s="2" t="s">
        <v>187</v>
      </c>
      <c r="Q435" s="22"/>
      <c r="R435" s="2"/>
      <c r="S435" s="2"/>
      <c r="T435" s="2"/>
      <c r="U435" s="34">
        <f t="shared" si="6"/>
        <v>0.94920000000000004</v>
      </c>
    </row>
    <row r="436" spans="1:21" x14ac:dyDescent="0.2">
      <c r="A436" s="18" t="s">
        <v>1313</v>
      </c>
      <c r="B436" s="19" t="s">
        <v>1314</v>
      </c>
      <c r="C436" s="19" t="s">
        <v>1315</v>
      </c>
      <c r="D436" s="20">
        <v>0.3340582165</v>
      </c>
      <c r="E436" s="20">
        <v>0.53386033200000005</v>
      </c>
      <c r="F436" s="1">
        <v>0.34038850406815324</v>
      </c>
      <c r="G436" s="42"/>
      <c r="I436" s="43" t="s">
        <v>187</v>
      </c>
      <c r="J436" s="44"/>
      <c r="K436" s="35">
        <v>0</v>
      </c>
      <c r="L436" s="35">
        <v>0</v>
      </c>
      <c r="M436" s="35">
        <v>0.96309999999999996</v>
      </c>
      <c r="N436" s="21"/>
      <c r="O436" s="2" t="s">
        <v>187</v>
      </c>
      <c r="Q436" s="22"/>
      <c r="R436" s="2"/>
      <c r="S436" s="2"/>
      <c r="T436" s="2"/>
      <c r="U436" s="34">
        <f t="shared" si="6"/>
        <v>0.96309999999999996</v>
      </c>
    </row>
    <row r="437" spans="1:21" x14ac:dyDescent="0.2">
      <c r="A437" s="18" t="s">
        <v>1317</v>
      </c>
      <c r="B437" s="19" t="s">
        <v>1318</v>
      </c>
      <c r="C437" s="19" t="s">
        <v>1319</v>
      </c>
      <c r="D437" s="20">
        <v>2.6015355927499999</v>
      </c>
      <c r="E437" s="20">
        <v>10.821867350249999</v>
      </c>
      <c r="F437" s="1">
        <v>0.58355493213737253</v>
      </c>
      <c r="G437" s="42"/>
      <c r="H437" s="49" t="s">
        <v>187</v>
      </c>
      <c r="J437" s="44"/>
      <c r="K437" s="35">
        <v>0.22109999999999999</v>
      </c>
      <c r="L437" s="35">
        <v>0.68720000000000003</v>
      </c>
      <c r="M437" s="35">
        <v>0</v>
      </c>
      <c r="N437" s="21"/>
      <c r="O437" s="2" t="s">
        <v>187</v>
      </c>
      <c r="Q437" s="22"/>
      <c r="R437" s="2"/>
      <c r="S437" s="2"/>
      <c r="T437" s="2"/>
      <c r="U437" s="34">
        <f t="shared" si="6"/>
        <v>0.68720000000000003</v>
      </c>
    </row>
    <row r="438" spans="1:21" x14ac:dyDescent="0.2">
      <c r="A438" s="18" t="s">
        <v>1320</v>
      </c>
      <c r="B438" s="19" t="s">
        <v>1321</v>
      </c>
      <c r="C438" s="19" t="s">
        <v>1322</v>
      </c>
      <c r="D438" s="20">
        <v>0.31496290250000003</v>
      </c>
      <c r="E438" s="20">
        <v>0.93115352875000001</v>
      </c>
      <c r="F438" s="1">
        <v>7.6902587956058865E-2</v>
      </c>
      <c r="G438" s="42"/>
      <c r="I438" s="43" t="s">
        <v>187</v>
      </c>
      <c r="J438" s="44"/>
      <c r="K438" s="35">
        <v>0</v>
      </c>
      <c r="L438" s="35">
        <v>2.0000000000000001E-4</v>
      </c>
      <c r="M438" s="35">
        <v>0.94079999999999997</v>
      </c>
      <c r="N438" s="21"/>
      <c r="O438" s="2" t="s">
        <v>187</v>
      </c>
      <c r="Q438" s="22"/>
      <c r="R438" s="2"/>
      <c r="S438" s="2"/>
      <c r="T438" s="2"/>
      <c r="U438" s="34">
        <f t="shared" si="6"/>
        <v>0.94079999999999997</v>
      </c>
    </row>
    <row r="439" spans="1:21" x14ac:dyDescent="0.2">
      <c r="A439" s="18" t="s">
        <v>1323</v>
      </c>
      <c r="B439" s="19" t="s">
        <v>1324</v>
      </c>
      <c r="C439" s="19" t="s">
        <v>1315</v>
      </c>
      <c r="D439" s="20">
        <v>0.29281552500000002</v>
      </c>
      <c r="E439" s="20">
        <v>0.24120946425000001</v>
      </c>
      <c r="F439" s="1">
        <v>0.19131863345165839</v>
      </c>
      <c r="G439" s="42"/>
      <c r="I439" s="43" t="s">
        <v>187</v>
      </c>
      <c r="J439" s="44"/>
      <c r="K439" s="35">
        <v>0</v>
      </c>
      <c r="L439" s="35">
        <v>0</v>
      </c>
      <c r="M439" s="35">
        <v>0.97089999999999999</v>
      </c>
      <c r="N439" s="21"/>
      <c r="O439" s="2" t="s">
        <v>187</v>
      </c>
      <c r="Q439" s="22"/>
      <c r="R439" s="2"/>
      <c r="S439" s="2"/>
      <c r="T439" s="2"/>
      <c r="U439" s="34">
        <f t="shared" si="6"/>
        <v>0.97089999999999999</v>
      </c>
    </row>
    <row r="440" spans="1:21" x14ac:dyDescent="0.2">
      <c r="A440" s="18" t="s">
        <v>1325</v>
      </c>
      <c r="B440" s="19" t="s">
        <v>1326</v>
      </c>
      <c r="C440" s="19" t="s">
        <v>1327</v>
      </c>
      <c r="D440" s="20">
        <v>0.24236197625</v>
      </c>
      <c r="E440" s="20">
        <v>2.0712702219999999</v>
      </c>
      <c r="F440" s="1">
        <v>0.24131501737923819</v>
      </c>
      <c r="G440" s="42"/>
      <c r="I440" s="43" t="s">
        <v>187</v>
      </c>
      <c r="J440" s="44"/>
      <c r="K440" s="35">
        <v>0</v>
      </c>
      <c r="L440" s="35">
        <v>0.13339999999999999</v>
      </c>
      <c r="M440" s="35">
        <v>0.67390000000000005</v>
      </c>
      <c r="N440" s="21"/>
      <c r="O440" s="2" t="s">
        <v>187</v>
      </c>
      <c r="Q440" s="22"/>
      <c r="R440" s="2"/>
      <c r="S440" s="2"/>
      <c r="T440" s="2"/>
      <c r="U440" s="34">
        <f t="shared" si="6"/>
        <v>0.67390000000000005</v>
      </c>
    </row>
    <row r="441" spans="1:21" x14ac:dyDescent="0.2">
      <c r="A441" s="18" t="s">
        <v>1329</v>
      </c>
      <c r="B441" s="19" t="s">
        <v>1330</v>
      </c>
      <c r="C441" s="19" t="s">
        <v>1331</v>
      </c>
      <c r="D441" s="20">
        <v>0.40212451250000003</v>
      </c>
      <c r="E441" s="20">
        <v>7.458804799999999E-2</v>
      </c>
      <c r="F441" s="1" t="s">
        <v>47</v>
      </c>
      <c r="G441" s="42"/>
      <c r="I441" s="43" t="s">
        <v>187</v>
      </c>
      <c r="J441" s="44"/>
      <c r="K441" s="35">
        <v>0</v>
      </c>
      <c r="L441" s="35">
        <v>0</v>
      </c>
      <c r="M441" s="35">
        <v>0.9385</v>
      </c>
      <c r="N441" s="21" t="s">
        <v>187</v>
      </c>
      <c r="Q441" s="22"/>
      <c r="R441" s="2"/>
      <c r="S441" s="2"/>
      <c r="T441" s="2"/>
      <c r="U441" s="34">
        <f t="shared" si="6"/>
        <v>0.9385</v>
      </c>
    </row>
    <row r="442" spans="1:21" x14ac:dyDescent="0.2">
      <c r="A442" s="18" t="s">
        <v>1333</v>
      </c>
      <c r="B442" s="19" t="s">
        <v>1334</v>
      </c>
      <c r="C442" s="19" t="s">
        <v>1335</v>
      </c>
      <c r="D442" s="20">
        <v>0.55798562500000004</v>
      </c>
      <c r="E442" s="20">
        <v>0.25439000000000001</v>
      </c>
      <c r="F442" s="1" t="s">
        <v>47</v>
      </c>
      <c r="G442" s="42"/>
      <c r="I442" s="43" t="s">
        <v>187</v>
      </c>
      <c r="J442" s="44"/>
      <c r="K442" s="35">
        <v>0</v>
      </c>
      <c r="L442" s="35">
        <v>0</v>
      </c>
      <c r="M442" s="35">
        <v>0.93489999999999995</v>
      </c>
      <c r="N442" s="24" t="s">
        <v>187</v>
      </c>
      <c r="Q442" s="22"/>
      <c r="R442" s="2"/>
      <c r="S442" s="2"/>
      <c r="T442" s="2"/>
      <c r="U442" s="34">
        <f t="shared" si="6"/>
        <v>0.93489999999999995</v>
      </c>
    </row>
    <row r="443" spans="1:21" x14ac:dyDescent="0.2">
      <c r="A443" s="18" t="s">
        <v>1337</v>
      </c>
      <c r="B443" s="19" t="s">
        <v>1338</v>
      </c>
      <c r="C443" s="19" t="s">
        <v>1339</v>
      </c>
      <c r="D443" s="20">
        <v>0.63932</v>
      </c>
      <c r="E443" s="20" t="s">
        <v>1340</v>
      </c>
      <c r="F443" s="1">
        <v>0.26915905784601396</v>
      </c>
      <c r="G443" s="42"/>
      <c r="H443" s="43" t="s">
        <v>187</v>
      </c>
      <c r="J443" s="44"/>
      <c r="K443" s="35" t="e">
        <v>#N/A</v>
      </c>
      <c r="L443" s="35" t="e">
        <v>#N/A</v>
      </c>
      <c r="M443" s="35" t="e">
        <v>#N/A</v>
      </c>
      <c r="N443" s="21"/>
      <c r="O443" s="2" t="s">
        <v>187</v>
      </c>
      <c r="Q443" s="22"/>
      <c r="R443" s="2"/>
      <c r="S443" s="2"/>
      <c r="T443" s="2"/>
      <c r="U443" s="34" t="e">
        <f t="shared" si="6"/>
        <v>#N/A</v>
      </c>
    </row>
    <row r="444" spans="1:21" x14ac:dyDescent="0.2">
      <c r="A444" s="18" t="s">
        <v>1341</v>
      </c>
      <c r="B444" s="19" t="s">
        <v>1342</v>
      </c>
      <c r="C444" s="19" t="s">
        <v>1343</v>
      </c>
      <c r="D444" s="20">
        <v>0.17721278574999999</v>
      </c>
      <c r="E444" s="20">
        <v>0.48035969125</v>
      </c>
      <c r="F444" s="1">
        <v>0.23661515989798246</v>
      </c>
      <c r="G444" s="42"/>
      <c r="I444" s="43" t="s">
        <v>187</v>
      </c>
      <c r="J444" s="44"/>
      <c r="K444" s="35">
        <v>0</v>
      </c>
      <c r="L444" s="35">
        <v>0</v>
      </c>
      <c r="M444" s="35">
        <v>0.90990000000000004</v>
      </c>
      <c r="N444" s="21"/>
      <c r="O444" s="2" t="s">
        <v>187</v>
      </c>
      <c r="Q444" s="22"/>
      <c r="R444" s="2"/>
      <c r="S444" s="2"/>
      <c r="T444" s="2"/>
      <c r="U444" s="34">
        <f t="shared" si="6"/>
        <v>0.90990000000000004</v>
      </c>
    </row>
    <row r="445" spans="1:21" x14ac:dyDescent="0.2">
      <c r="A445" s="18" t="s">
        <v>1344</v>
      </c>
      <c r="B445" s="19" t="s">
        <v>1345</v>
      </c>
      <c r="C445" s="19" t="s">
        <v>1346</v>
      </c>
      <c r="D445" s="20">
        <v>2.2633000000000001</v>
      </c>
      <c r="E445" s="20">
        <v>20.016999999999999</v>
      </c>
      <c r="F445" s="1">
        <v>0.31007123463862624</v>
      </c>
      <c r="G445" s="42"/>
      <c r="H445" s="43" t="s">
        <v>187</v>
      </c>
      <c r="J445" s="44"/>
      <c r="K445" s="35">
        <v>7.2099999999999997E-2</v>
      </c>
      <c r="L445" s="35">
        <v>0.88819999999999999</v>
      </c>
      <c r="M445" s="35">
        <v>0</v>
      </c>
      <c r="N445" s="21"/>
      <c r="O445" s="2" t="s">
        <v>187</v>
      </c>
      <c r="Q445" s="22"/>
      <c r="R445" s="2"/>
      <c r="S445" s="2"/>
      <c r="T445" s="2"/>
      <c r="U445" s="34">
        <f t="shared" si="6"/>
        <v>0.88819999999999999</v>
      </c>
    </row>
    <row r="446" spans="1:21" x14ac:dyDescent="0.2">
      <c r="A446" s="18" t="s">
        <v>1347</v>
      </c>
      <c r="B446" s="19" t="s">
        <v>1348</v>
      </c>
      <c r="C446" s="19" t="s">
        <v>1349</v>
      </c>
      <c r="D446" s="20">
        <v>7.4628607356666663</v>
      </c>
      <c r="E446" s="20">
        <v>13.144158959250001</v>
      </c>
      <c r="F446" s="1">
        <v>0</v>
      </c>
      <c r="G446" s="42" t="s">
        <v>187</v>
      </c>
      <c r="J446" s="44"/>
      <c r="K446" s="35">
        <v>0.97370000000000001</v>
      </c>
      <c r="L446" s="35">
        <v>5.7000000000000002E-3</v>
      </c>
      <c r="M446" s="35">
        <v>0</v>
      </c>
      <c r="N446" s="21"/>
      <c r="P446" s="2" t="s">
        <v>187</v>
      </c>
      <c r="Q446" s="22"/>
      <c r="R446" s="2"/>
      <c r="S446" s="2"/>
      <c r="T446" s="2"/>
      <c r="U446" s="34">
        <f t="shared" si="6"/>
        <v>0.97370000000000001</v>
      </c>
    </row>
    <row r="447" spans="1:21" x14ac:dyDescent="0.2">
      <c r="A447" s="18" t="s">
        <v>1350</v>
      </c>
      <c r="B447" s="19" t="s">
        <v>1351</v>
      </c>
      <c r="C447" s="19" t="s">
        <v>1352</v>
      </c>
      <c r="D447" s="20">
        <v>44.642857139999997</v>
      </c>
      <c r="E447" s="20">
        <v>7.5182317120000004</v>
      </c>
      <c r="F447" s="1">
        <v>0.16285253920115403</v>
      </c>
      <c r="G447" s="24" t="s">
        <v>187</v>
      </c>
      <c r="J447" s="44"/>
      <c r="K447" s="35">
        <v>0.12</v>
      </c>
      <c r="L447" s="35">
        <v>0</v>
      </c>
      <c r="M447" s="35">
        <v>0</v>
      </c>
      <c r="N447" s="21"/>
      <c r="P447" s="2" t="s">
        <v>187</v>
      </c>
      <c r="Q447" s="22"/>
      <c r="R447" s="2"/>
      <c r="S447" s="2"/>
      <c r="T447" s="2"/>
      <c r="U447" s="34">
        <f t="shared" si="6"/>
        <v>0.12</v>
      </c>
    </row>
    <row r="448" spans="1:21" x14ac:dyDescent="0.2">
      <c r="A448" s="18" t="s">
        <v>1353</v>
      </c>
      <c r="B448" s="19" t="s">
        <v>1354</v>
      </c>
      <c r="C448" s="19" t="s">
        <v>1355</v>
      </c>
      <c r="D448" s="20">
        <v>6.4949910265000002</v>
      </c>
      <c r="E448" s="20">
        <v>15.309590624333334</v>
      </c>
      <c r="F448" s="1">
        <v>0.51909246870347603</v>
      </c>
      <c r="G448" s="42" t="s">
        <v>187</v>
      </c>
      <c r="J448" s="44"/>
      <c r="K448" s="35">
        <v>0.9637</v>
      </c>
      <c r="L448" s="35">
        <v>1.6799999999999999E-2</v>
      </c>
      <c r="M448" s="35">
        <v>0</v>
      </c>
      <c r="N448" s="21"/>
      <c r="P448" s="2" t="s">
        <v>187</v>
      </c>
      <c r="Q448" s="22"/>
      <c r="R448" s="2"/>
      <c r="S448" s="2"/>
      <c r="T448" s="2"/>
      <c r="U448" s="34">
        <f t="shared" si="6"/>
        <v>0.9637</v>
      </c>
    </row>
    <row r="449" spans="1:21" x14ac:dyDescent="0.2">
      <c r="A449" s="18" t="s">
        <v>1356</v>
      </c>
      <c r="B449" s="19" t="s">
        <v>1357</v>
      </c>
      <c r="C449" s="19" t="s">
        <v>1358</v>
      </c>
      <c r="D449" s="20">
        <v>2.6163189877499997</v>
      </c>
      <c r="E449" s="20">
        <v>2.9120053225000002</v>
      </c>
      <c r="F449" s="1">
        <v>34.86258467147983</v>
      </c>
      <c r="G449" s="42"/>
      <c r="J449" s="44" t="s">
        <v>187</v>
      </c>
      <c r="K449" s="35">
        <v>2.9999999999999997E-4</v>
      </c>
      <c r="L449" s="35">
        <v>7.9000000000000008E-3</v>
      </c>
      <c r="M449" s="35">
        <v>2.0000000000000001E-4</v>
      </c>
      <c r="N449" s="21"/>
      <c r="Q449" s="22"/>
      <c r="R449" s="2"/>
      <c r="S449" s="2"/>
      <c r="T449" s="2"/>
      <c r="U449" s="34">
        <f t="shared" si="6"/>
        <v>7.9000000000000008E-3</v>
      </c>
    </row>
    <row r="450" spans="1:21" x14ac:dyDescent="0.2">
      <c r="A450" s="18" t="s">
        <v>1359</v>
      </c>
      <c r="B450" s="19" t="s">
        <v>1360</v>
      </c>
      <c r="C450" s="19" t="s">
        <v>1361</v>
      </c>
      <c r="D450" s="20">
        <v>25.980248305</v>
      </c>
      <c r="E450" s="20">
        <v>22.831269384999999</v>
      </c>
      <c r="F450" s="1">
        <v>0.34073762048243778</v>
      </c>
      <c r="G450" s="42" t="s">
        <v>187</v>
      </c>
      <c r="J450" s="44"/>
      <c r="K450" s="35">
        <v>0.95489999999999997</v>
      </c>
      <c r="L450" s="35">
        <v>1E-4</v>
      </c>
      <c r="M450" s="35">
        <v>0</v>
      </c>
      <c r="N450" s="21"/>
      <c r="Q450" s="22" t="s">
        <v>187</v>
      </c>
      <c r="R450" s="2"/>
      <c r="S450" s="2"/>
      <c r="T450" s="2"/>
      <c r="U450" s="34">
        <f t="shared" ref="U450:U513" si="7">MAX(K450:M450)</f>
        <v>0.95489999999999997</v>
      </c>
    </row>
    <row r="451" spans="1:21" x14ac:dyDescent="0.2">
      <c r="A451" s="18" t="s">
        <v>1362</v>
      </c>
      <c r="B451" s="19" t="s">
        <v>1363</v>
      </c>
      <c r="C451" s="19" t="s">
        <v>1364</v>
      </c>
      <c r="D451" s="23" t="s">
        <v>46</v>
      </c>
      <c r="E451" s="20">
        <v>0.47572176500000002</v>
      </c>
      <c r="F451" s="1">
        <v>0.47583476297792698</v>
      </c>
      <c r="G451" s="42"/>
      <c r="I451" s="49" t="s">
        <v>187</v>
      </c>
      <c r="J451" s="44"/>
      <c r="K451" s="35" t="e">
        <v>#N/A</v>
      </c>
      <c r="L451" s="35" t="e">
        <v>#N/A</v>
      </c>
      <c r="M451" s="35" t="e">
        <v>#N/A</v>
      </c>
      <c r="N451" s="21" t="s">
        <v>187</v>
      </c>
      <c r="Q451" s="22"/>
      <c r="R451" s="2"/>
      <c r="S451" s="2"/>
      <c r="T451" s="2"/>
      <c r="U451" s="34" t="e">
        <f t="shared" si="7"/>
        <v>#N/A</v>
      </c>
    </row>
    <row r="452" spans="1:21" x14ac:dyDescent="0.2">
      <c r="A452" s="18" t="s">
        <v>1365</v>
      </c>
      <c r="B452" s="19" t="s">
        <v>1366</v>
      </c>
      <c r="C452" s="19" t="s">
        <v>1367</v>
      </c>
      <c r="D452" s="20">
        <v>3.35146144475</v>
      </c>
      <c r="E452" s="20">
        <v>2.3937717945000001</v>
      </c>
      <c r="F452" s="1">
        <v>0.27684931664168777</v>
      </c>
      <c r="G452" s="42"/>
      <c r="J452" s="44" t="s">
        <v>187</v>
      </c>
      <c r="K452" s="35">
        <v>1E-4</v>
      </c>
      <c r="L452" s="35">
        <v>4.0000000000000002E-4</v>
      </c>
      <c r="M452" s="35">
        <v>0</v>
      </c>
      <c r="N452" s="21" t="s">
        <v>187</v>
      </c>
      <c r="Q452" s="22"/>
      <c r="R452" s="2"/>
      <c r="S452" s="2"/>
      <c r="T452" s="2"/>
      <c r="U452" s="34">
        <f t="shared" si="7"/>
        <v>4.0000000000000002E-4</v>
      </c>
    </row>
    <row r="453" spans="1:21" x14ac:dyDescent="0.2">
      <c r="A453" s="18" t="s">
        <v>1368</v>
      </c>
      <c r="B453" s="19" t="s">
        <v>1369</v>
      </c>
      <c r="C453" s="19" t="s">
        <v>1370</v>
      </c>
      <c r="D453" s="20">
        <v>0.30418065625000001</v>
      </c>
      <c r="E453" s="20">
        <v>3.2268999999999999E-2</v>
      </c>
      <c r="F453" s="1">
        <v>0.1677874646313241</v>
      </c>
      <c r="G453" s="42"/>
      <c r="I453" s="43" t="s">
        <v>187</v>
      </c>
      <c r="J453" s="44"/>
      <c r="K453" s="35">
        <v>0</v>
      </c>
      <c r="L453" s="35">
        <v>0</v>
      </c>
      <c r="M453" s="35">
        <v>0.87819999999999998</v>
      </c>
      <c r="N453" s="21"/>
      <c r="O453" s="2" t="s">
        <v>187</v>
      </c>
      <c r="Q453" s="22"/>
      <c r="R453" s="2"/>
      <c r="S453" s="2"/>
      <c r="T453" s="2"/>
      <c r="U453" s="34">
        <f t="shared" si="7"/>
        <v>0.87819999999999998</v>
      </c>
    </row>
    <row r="454" spans="1:21" x14ac:dyDescent="0.2">
      <c r="A454" s="18" t="s">
        <v>1371</v>
      </c>
      <c r="B454" s="19" t="s">
        <v>1372</v>
      </c>
      <c r="C454" s="19" t="s">
        <v>1373</v>
      </c>
      <c r="D454" s="20">
        <v>0.23524925974999999</v>
      </c>
      <c r="E454" s="20">
        <v>0.1763675636666667</v>
      </c>
      <c r="F454" s="1">
        <v>0</v>
      </c>
      <c r="G454" s="42"/>
      <c r="I454" s="43" t="s">
        <v>187</v>
      </c>
      <c r="J454" s="44"/>
      <c r="K454" s="35">
        <v>0</v>
      </c>
      <c r="L454" s="35">
        <v>0</v>
      </c>
      <c r="M454" s="35">
        <v>0.96460000000000001</v>
      </c>
      <c r="N454" s="21"/>
      <c r="O454" s="2" t="s">
        <v>187</v>
      </c>
      <c r="Q454" s="22"/>
      <c r="R454" s="2"/>
      <c r="S454" s="2"/>
      <c r="T454" s="2"/>
      <c r="U454" s="34">
        <f t="shared" si="7"/>
        <v>0.96460000000000001</v>
      </c>
    </row>
    <row r="455" spans="1:21" x14ac:dyDescent="0.2">
      <c r="A455" s="18" t="s">
        <v>1374</v>
      </c>
      <c r="B455" s="19" t="s">
        <v>1375</v>
      </c>
      <c r="C455" s="19" t="s">
        <v>1376</v>
      </c>
      <c r="D455" s="20">
        <v>0.55011623549999999</v>
      </c>
      <c r="E455" s="20">
        <v>4.6274185409999999</v>
      </c>
      <c r="F455" s="1">
        <v>0</v>
      </c>
      <c r="G455" s="42"/>
      <c r="H455" s="43" t="s">
        <v>187</v>
      </c>
      <c r="J455" s="44"/>
      <c r="K455" s="35">
        <v>0</v>
      </c>
      <c r="L455" s="35">
        <v>0.84250000000000003</v>
      </c>
      <c r="M455" s="35">
        <v>7.0900000000000005E-2</v>
      </c>
      <c r="N455" s="21"/>
      <c r="O455" s="2" t="s">
        <v>187</v>
      </c>
      <c r="Q455" s="22"/>
      <c r="R455" s="2"/>
      <c r="S455" s="2"/>
      <c r="T455" s="2"/>
      <c r="U455" s="34">
        <f t="shared" si="7"/>
        <v>0.84250000000000003</v>
      </c>
    </row>
    <row r="456" spans="1:21" x14ac:dyDescent="0.2">
      <c r="A456" s="18" t="s">
        <v>1377</v>
      </c>
      <c r="B456" s="19" t="s">
        <v>1378</v>
      </c>
      <c r="C456" s="19" t="s">
        <v>1379</v>
      </c>
      <c r="D456" s="20">
        <v>10.106061600999999</v>
      </c>
      <c r="E456" s="20">
        <v>20.500493142499998</v>
      </c>
      <c r="F456" s="1">
        <v>0.85604722909004205</v>
      </c>
      <c r="G456" s="42" t="s">
        <v>187</v>
      </c>
      <c r="J456" s="44"/>
      <c r="K456" s="35">
        <v>0.98199999999999998</v>
      </c>
      <c r="L456" s="35">
        <v>4.0000000000000001E-3</v>
      </c>
      <c r="M456" s="35">
        <v>0</v>
      </c>
      <c r="N456" s="21"/>
      <c r="Q456" s="22" t="s">
        <v>187</v>
      </c>
      <c r="R456" s="2"/>
      <c r="S456" s="2"/>
      <c r="T456" s="2"/>
      <c r="U456" s="34">
        <f t="shared" si="7"/>
        <v>0.98199999999999998</v>
      </c>
    </row>
    <row r="457" spans="1:21" x14ac:dyDescent="0.2">
      <c r="A457" s="18" t="s">
        <v>1380</v>
      </c>
      <c r="B457" s="19" t="s">
        <v>1381</v>
      </c>
      <c r="C457" s="19" t="s">
        <v>1382</v>
      </c>
      <c r="D457" s="20">
        <v>0.24649273800000002</v>
      </c>
      <c r="E457" s="20">
        <v>0.52354738999999995</v>
      </c>
      <c r="F457" s="1">
        <v>0.37752179542091702</v>
      </c>
      <c r="G457" s="42"/>
      <c r="I457" s="43" t="s">
        <v>187</v>
      </c>
      <c r="J457" s="44"/>
      <c r="K457" s="35">
        <v>0</v>
      </c>
      <c r="L457" s="35">
        <v>0</v>
      </c>
      <c r="M457" s="35">
        <v>0.95440000000000003</v>
      </c>
      <c r="N457" s="21"/>
      <c r="O457" s="2" t="s">
        <v>187</v>
      </c>
      <c r="Q457" s="22"/>
      <c r="R457" s="2"/>
      <c r="S457" s="2"/>
      <c r="T457" s="2"/>
      <c r="U457" s="34">
        <f t="shared" si="7"/>
        <v>0.95440000000000003</v>
      </c>
    </row>
    <row r="458" spans="1:21" x14ac:dyDescent="0.2">
      <c r="A458" s="18" t="s">
        <v>1383</v>
      </c>
      <c r="B458" s="19" t="s">
        <v>1384</v>
      </c>
      <c r="C458" s="19" t="s">
        <v>1385</v>
      </c>
      <c r="D458" s="23" t="s">
        <v>46</v>
      </c>
      <c r="E458" s="20">
        <v>0.11984</v>
      </c>
      <c r="F458" s="1">
        <v>0</v>
      </c>
      <c r="G458" s="42"/>
      <c r="I458" s="49" t="s">
        <v>187</v>
      </c>
      <c r="J458" s="44"/>
      <c r="K458" s="35" t="e">
        <v>#N/A</v>
      </c>
      <c r="L458" s="35" t="e">
        <v>#N/A</v>
      </c>
      <c r="M458" s="35" t="e">
        <v>#N/A</v>
      </c>
      <c r="N458" s="21"/>
      <c r="O458" s="2" t="s">
        <v>187</v>
      </c>
      <c r="Q458" s="22"/>
      <c r="R458" s="2"/>
      <c r="S458" s="2"/>
      <c r="T458" s="2"/>
      <c r="U458" s="34" t="e">
        <f t="shared" si="7"/>
        <v>#N/A</v>
      </c>
    </row>
    <row r="459" spans="1:21" x14ac:dyDescent="0.2">
      <c r="A459" s="18" t="s">
        <v>1386</v>
      </c>
      <c r="B459" s="19" t="s">
        <v>1387</v>
      </c>
      <c r="C459" s="19" t="s">
        <v>1388</v>
      </c>
      <c r="D459" s="20">
        <v>0.34560221200000002</v>
      </c>
      <c r="E459" s="20">
        <v>8.3691443666666657E-2</v>
      </c>
      <c r="F459" s="1">
        <v>0</v>
      </c>
      <c r="G459" s="42"/>
      <c r="I459" s="43" t="s">
        <v>187</v>
      </c>
      <c r="J459" s="44"/>
      <c r="K459" s="35">
        <v>0</v>
      </c>
      <c r="L459" s="35">
        <v>0</v>
      </c>
      <c r="M459" s="35">
        <v>0.95409999999999995</v>
      </c>
      <c r="N459" s="21"/>
      <c r="O459" s="2" t="s">
        <v>187</v>
      </c>
      <c r="Q459" s="22"/>
      <c r="R459" s="2"/>
      <c r="S459" s="2"/>
      <c r="T459" s="2"/>
      <c r="U459" s="34">
        <f t="shared" si="7"/>
        <v>0.95409999999999995</v>
      </c>
    </row>
    <row r="460" spans="1:21" x14ac:dyDescent="0.2">
      <c r="A460" s="18" t="s">
        <v>1389</v>
      </c>
      <c r="B460" s="19" t="s">
        <v>1390</v>
      </c>
      <c r="C460" s="19" t="s">
        <v>1391</v>
      </c>
      <c r="D460" s="20">
        <v>0.95978205766666669</v>
      </c>
      <c r="E460" s="20">
        <v>1.8239113645</v>
      </c>
      <c r="F460" s="1">
        <v>3.1556649918127437</v>
      </c>
      <c r="G460" s="42"/>
      <c r="J460" s="44" t="s">
        <v>187</v>
      </c>
      <c r="K460" s="35">
        <v>0</v>
      </c>
      <c r="L460" s="35">
        <v>1.17E-2</v>
      </c>
      <c r="M460" s="35">
        <v>0.36080000000000001</v>
      </c>
      <c r="N460" s="21"/>
      <c r="Q460" s="22"/>
      <c r="R460" s="2"/>
      <c r="S460" s="2"/>
      <c r="T460" s="2"/>
      <c r="U460" s="34">
        <f t="shared" si="7"/>
        <v>0.36080000000000001</v>
      </c>
    </row>
    <row r="461" spans="1:21" x14ac:dyDescent="0.2">
      <c r="A461" s="18" t="s">
        <v>1392</v>
      </c>
      <c r="B461" s="19" t="s">
        <v>1393</v>
      </c>
      <c r="C461" s="19" t="s">
        <v>1394</v>
      </c>
      <c r="D461" s="20">
        <v>7.7042814052499988</v>
      </c>
      <c r="E461" s="20">
        <v>13.110272272</v>
      </c>
      <c r="F461" s="1">
        <v>0.40373858676928975</v>
      </c>
      <c r="G461" s="42" t="s">
        <v>187</v>
      </c>
      <c r="J461" s="44"/>
      <c r="K461" s="35">
        <v>0.97499999999999998</v>
      </c>
      <c r="L461" s="35">
        <v>4.7000000000000002E-3</v>
      </c>
      <c r="M461" s="35">
        <v>0</v>
      </c>
      <c r="N461" s="21"/>
      <c r="P461" s="2" t="s">
        <v>187</v>
      </c>
      <c r="Q461" s="22"/>
      <c r="R461" s="2"/>
      <c r="S461" s="2"/>
      <c r="T461" s="2"/>
      <c r="U461" s="34">
        <f t="shared" si="7"/>
        <v>0.97499999999999998</v>
      </c>
    </row>
    <row r="462" spans="1:21" x14ac:dyDescent="0.2">
      <c r="A462" s="18" t="s">
        <v>1395</v>
      </c>
      <c r="B462" s="19" t="s">
        <v>1396</v>
      </c>
      <c r="C462" s="19" t="s">
        <v>1397</v>
      </c>
      <c r="D462" s="20">
        <v>7.3679870362500006</v>
      </c>
      <c r="E462" s="20">
        <v>7.1933356262500006</v>
      </c>
      <c r="F462" s="1">
        <v>0.26366601584924665</v>
      </c>
      <c r="G462" s="42" t="s">
        <v>187</v>
      </c>
      <c r="J462" s="44"/>
      <c r="K462" s="35">
        <v>0.81589999999999996</v>
      </c>
      <c r="L462" s="35">
        <v>2.5999999999999999E-3</v>
      </c>
      <c r="M462" s="35">
        <v>0</v>
      </c>
      <c r="N462" s="21"/>
      <c r="Q462" s="22" t="s">
        <v>187</v>
      </c>
      <c r="R462" s="2"/>
      <c r="S462" s="2"/>
      <c r="T462" s="2"/>
      <c r="U462" s="34">
        <f t="shared" si="7"/>
        <v>0.81589999999999996</v>
      </c>
    </row>
    <row r="463" spans="1:21" x14ac:dyDescent="0.2">
      <c r="A463" s="18" t="s">
        <v>1398</v>
      </c>
      <c r="B463" s="19" t="s">
        <v>1399</v>
      </c>
      <c r="C463" s="19" t="s">
        <v>1400</v>
      </c>
      <c r="D463" s="20">
        <v>0.13679707424999998</v>
      </c>
      <c r="E463" s="20">
        <v>0.16648249999999998</v>
      </c>
      <c r="F463" s="1">
        <v>0.26762100608702449</v>
      </c>
      <c r="G463" s="42"/>
      <c r="I463" s="43" t="s">
        <v>187</v>
      </c>
      <c r="J463" s="44"/>
      <c r="K463" s="35">
        <v>0</v>
      </c>
      <c r="L463" s="35">
        <v>0</v>
      </c>
      <c r="M463" s="35">
        <v>0.85650000000000004</v>
      </c>
      <c r="N463" s="21"/>
      <c r="O463" s="2" t="s">
        <v>187</v>
      </c>
      <c r="Q463" s="22"/>
      <c r="R463" s="2"/>
      <c r="S463" s="2"/>
      <c r="T463" s="2"/>
      <c r="U463" s="34">
        <f t="shared" si="7"/>
        <v>0.85650000000000004</v>
      </c>
    </row>
    <row r="464" spans="1:21" x14ac:dyDescent="0.2">
      <c r="A464" s="18" t="s">
        <v>1401</v>
      </c>
      <c r="B464" s="19" t="s">
        <v>1402</v>
      </c>
      <c r="C464" s="19" t="s">
        <v>1403</v>
      </c>
      <c r="D464" s="20">
        <v>0.39991234400000003</v>
      </c>
      <c r="E464" s="20">
        <v>11.867060174999999</v>
      </c>
      <c r="F464" s="1">
        <v>0</v>
      </c>
      <c r="G464" s="42"/>
      <c r="H464" s="43" t="s">
        <v>187</v>
      </c>
      <c r="J464" s="44"/>
      <c r="K464" s="35">
        <v>0</v>
      </c>
      <c r="L464" s="35">
        <v>0.94850000000000001</v>
      </c>
      <c r="M464" s="35">
        <v>4.3E-3</v>
      </c>
      <c r="N464" s="21"/>
      <c r="O464" s="2" t="s">
        <v>187</v>
      </c>
      <c r="Q464" s="22"/>
      <c r="R464" s="2"/>
      <c r="S464" s="2"/>
      <c r="T464" s="2"/>
      <c r="U464" s="34">
        <f t="shared" si="7"/>
        <v>0.94850000000000001</v>
      </c>
    </row>
    <row r="465" spans="1:21" x14ac:dyDescent="0.2">
      <c r="A465" s="18" t="s">
        <v>1404</v>
      </c>
      <c r="B465" s="19" t="s">
        <v>1405</v>
      </c>
      <c r="C465" s="19" t="s">
        <v>1406</v>
      </c>
      <c r="D465" s="20">
        <v>0.58041673900000001</v>
      </c>
      <c r="E465" s="20">
        <v>1.8344</v>
      </c>
      <c r="F465" s="1">
        <v>0</v>
      </c>
      <c r="G465" s="42"/>
      <c r="I465" s="43" t="s">
        <v>187</v>
      </c>
      <c r="J465" s="44"/>
      <c r="K465" s="35">
        <v>0</v>
      </c>
      <c r="L465" s="35">
        <v>1.95E-2</v>
      </c>
      <c r="M465" s="35">
        <v>0.77539999999999998</v>
      </c>
      <c r="N465" s="21"/>
      <c r="O465" s="2" t="s">
        <v>187</v>
      </c>
      <c r="Q465" s="22"/>
      <c r="R465" s="2"/>
      <c r="S465" s="2"/>
      <c r="T465" s="2"/>
      <c r="U465" s="34">
        <f t="shared" si="7"/>
        <v>0.77539999999999998</v>
      </c>
    </row>
    <row r="466" spans="1:21" x14ac:dyDescent="0.2">
      <c r="A466" s="18" t="s">
        <v>1407</v>
      </c>
      <c r="B466" s="19" t="s">
        <v>1408</v>
      </c>
      <c r="C466" s="19" t="s">
        <v>1409</v>
      </c>
      <c r="D466" s="20">
        <v>1.017272379</v>
      </c>
      <c r="E466" s="20">
        <v>8.2517724799999996</v>
      </c>
      <c r="F466" s="1">
        <v>0</v>
      </c>
      <c r="G466" s="42"/>
      <c r="H466" s="43" t="s">
        <v>187</v>
      </c>
      <c r="J466" s="44"/>
      <c r="K466" s="35">
        <v>2.9999999999999997E-4</v>
      </c>
      <c r="L466" s="35">
        <v>0.95820000000000005</v>
      </c>
      <c r="M466" s="35">
        <v>1.1999999999999999E-3</v>
      </c>
      <c r="N466" s="21"/>
      <c r="O466" s="2" t="s">
        <v>187</v>
      </c>
      <c r="Q466" s="22"/>
      <c r="R466" s="2"/>
      <c r="S466" s="2"/>
      <c r="T466" s="2"/>
      <c r="U466" s="34">
        <f t="shared" si="7"/>
        <v>0.95820000000000005</v>
      </c>
    </row>
    <row r="467" spans="1:21" x14ac:dyDescent="0.2">
      <c r="A467" s="18" t="s">
        <v>1410</v>
      </c>
      <c r="B467" s="19" t="s">
        <v>1411</v>
      </c>
      <c r="C467" s="19" t="s">
        <v>1412</v>
      </c>
      <c r="D467" s="20">
        <v>1.5559652722499999</v>
      </c>
      <c r="E467" s="20">
        <v>12.941222420999999</v>
      </c>
      <c r="F467" s="1">
        <v>0.40648510776764402</v>
      </c>
      <c r="G467" s="42"/>
      <c r="H467" s="43" t="s">
        <v>187</v>
      </c>
      <c r="J467" s="44"/>
      <c r="K467" s="35">
        <v>9.7999999999999997E-3</v>
      </c>
      <c r="L467" s="35">
        <v>0.95650000000000002</v>
      </c>
      <c r="M467" s="35">
        <v>0</v>
      </c>
      <c r="N467" s="21"/>
      <c r="O467" s="2" t="s">
        <v>187</v>
      </c>
      <c r="Q467" s="22"/>
      <c r="R467" s="2"/>
      <c r="S467" s="2"/>
      <c r="T467" s="2"/>
      <c r="U467" s="34">
        <f t="shared" si="7"/>
        <v>0.95650000000000002</v>
      </c>
    </row>
    <row r="468" spans="1:21" x14ac:dyDescent="0.2">
      <c r="A468" s="18" t="s">
        <v>1413</v>
      </c>
      <c r="B468" s="19" t="s">
        <v>1414</v>
      </c>
      <c r="C468" s="19" t="s">
        <v>1415</v>
      </c>
      <c r="D468" s="20">
        <v>4.8627984646666667</v>
      </c>
      <c r="E468" s="20">
        <v>9.8122904217499993</v>
      </c>
      <c r="F468" s="1">
        <v>1.8456621109478815</v>
      </c>
      <c r="G468" s="42" t="s">
        <v>187</v>
      </c>
      <c r="J468" s="44"/>
      <c r="K468" s="35">
        <v>0.87729999999999997</v>
      </c>
      <c r="L468" s="35">
        <v>4.5699999999999998E-2</v>
      </c>
      <c r="M468" s="35">
        <v>0</v>
      </c>
      <c r="N468" s="21"/>
      <c r="Q468" s="22" t="s">
        <v>187</v>
      </c>
      <c r="R468" s="2"/>
      <c r="S468" s="2"/>
      <c r="T468" s="2"/>
      <c r="U468" s="34">
        <f t="shared" si="7"/>
        <v>0.87729999999999997</v>
      </c>
    </row>
    <row r="469" spans="1:21" x14ac:dyDescent="0.2">
      <c r="A469" s="18" t="s">
        <v>1416</v>
      </c>
      <c r="B469" s="19" t="s">
        <v>1417</v>
      </c>
      <c r="C469" s="19" t="s">
        <v>1418</v>
      </c>
      <c r="D469" s="20">
        <v>1.8489428719999998</v>
      </c>
      <c r="E469" s="20">
        <v>25.501083120000001</v>
      </c>
      <c r="F469" s="1">
        <v>0.14831213391521592</v>
      </c>
      <c r="G469" s="42"/>
      <c r="H469" s="43" t="s">
        <v>187</v>
      </c>
      <c r="J469" s="44"/>
      <c r="K469" s="35">
        <v>1.5299999999999999E-2</v>
      </c>
      <c r="L469" s="35">
        <v>0.94279999999999997</v>
      </c>
      <c r="M469" s="35">
        <v>0</v>
      </c>
      <c r="N469" s="21"/>
      <c r="O469" s="2" t="s">
        <v>187</v>
      </c>
      <c r="Q469" s="22"/>
      <c r="R469" s="2"/>
      <c r="S469" s="2"/>
      <c r="T469" s="2"/>
      <c r="U469" s="34">
        <f t="shared" si="7"/>
        <v>0.94279999999999997</v>
      </c>
    </row>
    <row r="470" spans="1:21" x14ac:dyDescent="0.2">
      <c r="A470" s="18" t="s">
        <v>1419</v>
      </c>
      <c r="B470" s="19" t="s">
        <v>1420</v>
      </c>
      <c r="C470" s="19" t="s">
        <v>1421</v>
      </c>
      <c r="D470" s="20">
        <v>0.97730432924999988</v>
      </c>
      <c r="E470" s="20">
        <v>9.7375922540000008</v>
      </c>
      <c r="F470" s="1">
        <v>0</v>
      </c>
      <c r="G470" s="42"/>
      <c r="H470" s="43" t="s">
        <v>187</v>
      </c>
      <c r="J470" s="44"/>
      <c r="K470" s="35">
        <v>2.9999999999999997E-4</v>
      </c>
      <c r="L470" s="35">
        <v>0.96879999999999999</v>
      </c>
      <c r="M470" s="35">
        <v>6.9999999999999999E-4</v>
      </c>
      <c r="N470" s="21"/>
      <c r="O470" s="2" t="s">
        <v>187</v>
      </c>
      <c r="Q470" s="22"/>
      <c r="R470" s="2"/>
      <c r="S470" s="2"/>
      <c r="T470" s="2"/>
      <c r="U470" s="34">
        <f t="shared" si="7"/>
        <v>0.96879999999999999</v>
      </c>
    </row>
    <row r="471" spans="1:21" x14ac:dyDescent="0.2">
      <c r="A471" s="18" t="s">
        <v>1422</v>
      </c>
      <c r="B471" s="19" t="s">
        <v>1423</v>
      </c>
      <c r="C471" s="19" t="s">
        <v>1418</v>
      </c>
      <c r="D471" s="20">
        <v>0.87443645475000009</v>
      </c>
      <c r="E471" s="20">
        <v>0.63108367399999998</v>
      </c>
      <c r="F471" s="1">
        <v>0</v>
      </c>
      <c r="G471" s="42"/>
      <c r="I471" s="43" t="s">
        <v>187</v>
      </c>
      <c r="J471" s="44"/>
      <c r="K471" s="35">
        <v>0</v>
      </c>
      <c r="L471" s="35">
        <v>0</v>
      </c>
      <c r="M471" s="35">
        <v>0.68189999999999995</v>
      </c>
      <c r="N471" s="21"/>
      <c r="O471" s="2" t="s">
        <v>187</v>
      </c>
      <c r="Q471" s="22"/>
      <c r="R471" s="2"/>
      <c r="S471" s="2"/>
      <c r="T471" s="2"/>
      <c r="U471" s="34">
        <f t="shared" si="7"/>
        <v>0.68189999999999995</v>
      </c>
    </row>
    <row r="472" spans="1:21" x14ac:dyDescent="0.2">
      <c r="A472" s="18" t="s">
        <v>1424</v>
      </c>
      <c r="B472" s="19" t="s">
        <v>1425</v>
      </c>
      <c r="C472" s="19" t="s">
        <v>1426</v>
      </c>
      <c r="D472" s="20">
        <v>1.8926840220000001</v>
      </c>
      <c r="E472" s="20">
        <v>21.2405329425</v>
      </c>
      <c r="F472" s="1">
        <v>0.38248918746562094</v>
      </c>
      <c r="G472" s="42"/>
      <c r="H472" s="43" t="s">
        <v>187</v>
      </c>
      <c r="J472" s="44"/>
      <c r="K472" s="35">
        <v>2.4E-2</v>
      </c>
      <c r="L472" s="35">
        <v>0.94030000000000002</v>
      </c>
      <c r="M472" s="35">
        <v>0</v>
      </c>
      <c r="N472" s="21"/>
      <c r="O472" s="2" t="s">
        <v>187</v>
      </c>
      <c r="Q472" s="22"/>
      <c r="R472" s="2"/>
      <c r="S472" s="2"/>
      <c r="T472" s="2"/>
      <c r="U472" s="34">
        <f t="shared" si="7"/>
        <v>0.94030000000000002</v>
      </c>
    </row>
    <row r="473" spans="1:21" x14ac:dyDescent="0.2">
      <c r="A473" s="18" t="s">
        <v>1427</v>
      </c>
      <c r="B473" s="19" t="s">
        <v>1428</v>
      </c>
      <c r="C473" s="19" t="s">
        <v>1429</v>
      </c>
      <c r="D473" s="20">
        <v>6.7487886723333332</v>
      </c>
      <c r="E473" s="20">
        <v>3.8233356457500003</v>
      </c>
      <c r="F473" s="1">
        <v>0.29787584701975506</v>
      </c>
      <c r="G473" s="42"/>
      <c r="J473" s="44" t="s">
        <v>187</v>
      </c>
      <c r="K473" s="35">
        <v>2.76E-2</v>
      </c>
      <c r="L473" s="35">
        <v>2.0000000000000001E-4</v>
      </c>
      <c r="M473" s="35">
        <v>0</v>
      </c>
      <c r="N473" s="21"/>
      <c r="Q473" s="22"/>
      <c r="R473" s="2"/>
      <c r="S473" s="2"/>
      <c r="T473" s="2"/>
      <c r="U473" s="34">
        <f t="shared" si="7"/>
        <v>2.76E-2</v>
      </c>
    </row>
    <row r="474" spans="1:21" x14ac:dyDescent="0.2">
      <c r="A474" s="18" t="s">
        <v>1430</v>
      </c>
      <c r="B474" s="19" t="s">
        <v>1431</v>
      </c>
      <c r="C474" s="19" t="s">
        <v>1418</v>
      </c>
      <c r="D474" s="20">
        <v>1.08035427025</v>
      </c>
      <c r="E474" s="20">
        <v>22.1723520625</v>
      </c>
      <c r="F474" s="1">
        <v>0.14937912768437953</v>
      </c>
      <c r="G474" s="42"/>
      <c r="H474" s="43" t="s">
        <v>187</v>
      </c>
      <c r="J474" s="44"/>
      <c r="K474" s="35">
        <v>6.9999999999999999E-4</v>
      </c>
      <c r="L474" s="35">
        <v>0.96199999999999997</v>
      </c>
      <c r="M474" s="35">
        <v>1E-4</v>
      </c>
      <c r="N474" s="21"/>
      <c r="O474" s="2" t="s">
        <v>187</v>
      </c>
      <c r="Q474" s="22"/>
      <c r="R474" s="2"/>
      <c r="S474" s="2"/>
      <c r="T474" s="2"/>
      <c r="U474" s="34">
        <f t="shared" si="7"/>
        <v>0.96199999999999997</v>
      </c>
    </row>
    <row r="475" spans="1:21" x14ac:dyDescent="0.2">
      <c r="A475" s="18" t="s">
        <v>1432</v>
      </c>
      <c r="B475" s="19" t="s">
        <v>1433</v>
      </c>
      <c r="C475" s="19" t="s">
        <v>1434</v>
      </c>
      <c r="D475" s="20">
        <v>2.6287262240000002</v>
      </c>
      <c r="E475" s="20">
        <v>6.48164538275</v>
      </c>
      <c r="F475" s="1">
        <v>0.11073972665679113</v>
      </c>
      <c r="G475" s="42"/>
      <c r="J475" s="44" t="s">
        <v>187</v>
      </c>
      <c r="K475" s="35">
        <v>0.1164</v>
      </c>
      <c r="L475" s="35">
        <v>0.4652</v>
      </c>
      <c r="M475" s="35">
        <v>0</v>
      </c>
      <c r="N475" s="21"/>
      <c r="Q475" s="22"/>
      <c r="R475" s="2"/>
      <c r="S475" s="2"/>
      <c r="T475" s="2"/>
      <c r="U475" s="34">
        <f t="shared" si="7"/>
        <v>0.4652</v>
      </c>
    </row>
    <row r="476" spans="1:21" x14ac:dyDescent="0.2">
      <c r="A476" s="18" t="s">
        <v>1435</v>
      </c>
      <c r="B476" s="19" t="s">
        <v>1436</v>
      </c>
      <c r="C476" s="19" t="s">
        <v>1437</v>
      </c>
      <c r="D476" s="20">
        <v>0.86538610149999995</v>
      </c>
      <c r="E476" s="20">
        <v>4.005359297</v>
      </c>
      <c r="F476" s="1">
        <v>0.33033157099297861</v>
      </c>
      <c r="G476" s="42"/>
      <c r="H476" s="49" t="s">
        <v>187</v>
      </c>
      <c r="J476" s="44"/>
      <c r="K476" s="35">
        <v>0</v>
      </c>
      <c r="L476" s="35">
        <v>0.70130000000000003</v>
      </c>
      <c r="M476" s="35">
        <v>6.5100000000000005E-2</v>
      </c>
      <c r="N476" s="21"/>
      <c r="O476" s="2" t="s">
        <v>187</v>
      </c>
      <c r="Q476" s="22"/>
      <c r="R476" s="2"/>
      <c r="S476" s="2"/>
      <c r="T476" s="2"/>
      <c r="U476" s="34">
        <f t="shared" si="7"/>
        <v>0.70130000000000003</v>
      </c>
    </row>
    <row r="477" spans="1:21" x14ac:dyDescent="0.2">
      <c r="A477" s="18" t="s">
        <v>1438</v>
      </c>
      <c r="B477" s="19" t="s">
        <v>1439</v>
      </c>
      <c r="C477" s="19" t="s">
        <v>1426</v>
      </c>
      <c r="D477" s="20">
        <v>1.553518768</v>
      </c>
      <c r="E477" s="20">
        <v>10.63798646575</v>
      </c>
      <c r="F477" s="1">
        <v>0.2041285283994248</v>
      </c>
      <c r="G477" s="42"/>
      <c r="H477" s="43" t="s">
        <v>187</v>
      </c>
      <c r="J477" s="44"/>
      <c r="K477" s="35">
        <v>8.8999999999999999E-3</v>
      </c>
      <c r="L477" s="35">
        <v>0.94750000000000001</v>
      </c>
      <c r="M477" s="35">
        <v>1E-4</v>
      </c>
      <c r="N477" s="21"/>
      <c r="O477" s="2" t="s">
        <v>187</v>
      </c>
      <c r="Q477" s="22"/>
      <c r="R477" s="2"/>
      <c r="S477" s="2"/>
      <c r="T477" s="2"/>
      <c r="U477" s="34">
        <f t="shared" si="7"/>
        <v>0.94750000000000001</v>
      </c>
    </row>
    <row r="478" spans="1:21" x14ac:dyDescent="0.2">
      <c r="A478" s="18" t="s">
        <v>1440</v>
      </c>
      <c r="B478" s="19" t="s">
        <v>1441</v>
      </c>
      <c r="C478" s="19" t="s">
        <v>1426</v>
      </c>
      <c r="D478" s="20">
        <v>1.65423086025</v>
      </c>
      <c r="E478" s="20">
        <v>16.457833882499997</v>
      </c>
      <c r="F478" s="1">
        <v>0.23461806495066082</v>
      </c>
      <c r="G478" s="42"/>
      <c r="H478" s="43" t="s">
        <v>187</v>
      </c>
      <c r="J478" s="44"/>
      <c r="K478" s="35">
        <v>1.38E-2</v>
      </c>
      <c r="L478" s="35">
        <v>0.95509999999999995</v>
      </c>
      <c r="M478" s="35">
        <v>0</v>
      </c>
      <c r="N478" s="21"/>
      <c r="O478" s="2" t="s">
        <v>187</v>
      </c>
      <c r="Q478" s="22"/>
      <c r="R478" s="2"/>
      <c r="S478" s="2"/>
      <c r="T478" s="2"/>
      <c r="U478" s="34">
        <f t="shared" si="7"/>
        <v>0.95509999999999995</v>
      </c>
    </row>
    <row r="479" spans="1:21" x14ac:dyDescent="0.2">
      <c r="A479" s="18" t="s">
        <v>1442</v>
      </c>
      <c r="B479" s="19" t="s">
        <v>1443</v>
      </c>
      <c r="C479" s="19" t="s">
        <v>1444</v>
      </c>
      <c r="D479" s="20">
        <v>1.4651729957499999</v>
      </c>
      <c r="E479" s="20">
        <v>3.7020307247500006</v>
      </c>
      <c r="F479" s="1">
        <v>0</v>
      </c>
      <c r="G479" s="42"/>
      <c r="J479" s="44" t="s">
        <v>187</v>
      </c>
      <c r="K479" s="35">
        <v>2.0000000000000001E-4</v>
      </c>
      <c r="L479" s="35">
        <v>0.3201</v>
      </c>
      <c r="M479" s="35">
        <v>1.0999999999999999E-2</v>
      </c>
      <c r="N479" s="21"/>
      <c r="Q479" s="22"/>
      <c r="R479" s="2"/>
      <c r="S479" s="2"/>
      <c r="T479" s="2"/>
      <c r="U479" s="34">
        <f t="shared" si="7"/>
        <v>0.3201</v>
      </c>
    </row>
    <row r="480" spans="1:21" x14ac:dyDescent="0.2">
      <c r="A480" s="18" t="s">
        <v>1445</v>
      </c>
      <c r="B480" s="19" t="s">
        <v>1446</v>
      </c>
      <c r="C480" s="19" t="s">
        <v>1447</v>
      </c>
      <c r="D480" s="20">
        <v>0.69654069249999995</v>
      </c>
      <c r="E480" s="20">
        <v>15.539558302</v>
      </c>
      <c r="F480" s="1">
        <v>0.11429558943927452</v>
      </c>
      <c r="G480" s="42"/>
      <c r="H480" s="43" t="s">
        <v>187</v>
      </c>
      <c r="J480" s="44"/>
      <c r="K480" s="35">
        <v>0</v>
      </c>
      <c r="L480" s="35">
        <v>0.96789999999999998</v>
      </c>
      <c r="M480" s="35">
        <v>6.9999999999999999E-4</v>
      </c>
      <c r="N480" s="21"/>
      <c r="O480" s="2" t="s">
        <v>187</v>
      </c>
      <c r="Q480" s="22"/>
      <c r="R480" s="2"/>
      <c r="S480" s="2"/>
      <c r="T480" s="2"/>
      <c r="U480" s="34">
        <f t="shared" si="7"/>
        <v>0.96789999999999998</v>
      </c>
    </row>
    <row r="481" spans="1:21" x14ac:dyDescent="0.2">
      <c r="A481" s="18" t="s">
        <v>1448</v>
      </c>
      <c r="B481" s="19" t="s">
        <v>1449</v>
      </c>
      <c r="C481" s="19" t="s">
        <v>1434</v>
      </c>
      <c r="D481" s="20">
        <v>4.4903492269999994</v>
      </c>
      <c r="E481" s="20">
        <v>10.116923073999999</v>
      </c>
      <c r="F481" s="1">
        <v>0.23070776386815403</v>
      </c>
      <c r="G481" s="42" t="s">
        <v>187</v>
      </c>
      <c r="J481" s="44"/>
      <c r="K481" s="35">
        <v>0.84640000000000004</v>
      </c>
      <c r="L481" s="35">
        <v>7.4300000000000005E-2</v>
      </c>
      <c r="M481" s="35">
        <v>0</v>
      </c>
      <c r="N481" s="21"/>
      <c r="Q481" s="22" t="s">
        <v>187</v>
      </c>
      <c r="R481" s="2"/>
      <c r="S481" s="2"/>
      <c r="T481" s="2"/>
      <c r="U481" s="34">
        <f t="shared" si="7"/>
        <v>0.84640000000000004</v>
      </c>
    </row>
    <row r="482" spans="1:21" x14ac:dyDescent="0.2">
      <c r="A482" s="18" t="s">
        <v>1450</v>
      </c>
      <c r="B482" s="19" t="s">
        <v>1451</v>
      </c>
      <c r="C482" s="19" t="s">
        <v>1426</v>
      </c>
      <c r="D482" s="20">
        <v>1.7241792975000001</v>
      </c>
      <c r="E482" s="20">
        <v>12.02469587425</v>
      </c>
      <c r="F482" s="1">
        <v>0.17303082290112565</v>
      </c>
      <c r="G482" s="42"/>
      <c r="H482" s="43" t="s">
        <v>187</v>
      </c>
      <c r="J482" s="44"/>
      <c r="K482" s="35">
        <v>1.9199999999999998E-2</v>
      </c>
      <c r="L482" s="35">
        <v>0.93910000000000005</v>
      </c>
      <c r="M482" s="35">
        <v>0</v>
      </c>
      <c r="N482" s="21"/>
      <c r="O482" s="2" t="s">
        <v>187</v>
      </c>
      <c r="Q482" s="22"/>
      <c r="R482" s="2"/>
      <c r="S482" s="2"/>
      <c r="T482" s="2"/>
      <c r="U482" s="34">
        <f t="shared" si="7"/>
        <v>0.93910000000000005</v>
      </c>
    </row>
    <row r="483" spans="1:21" x14ac:dyDescent="0.2">
      <c r="A483" s="18" t="s">
        <v>1452</v>
      </c>
      <c r="B483" s="19" t="s">
        <v>1453</v>
      </c>
      <c r="C483" s="19" t="s">
        <v>1454</v>
      </c>
      <c r="D483" s="20">
        <v>0.90459843500000003</v>
      </c>
      <c r="E483" s="20">
        <v>11.9935226</v>
      </c>
      <c r="F483" s="1">
        <v>0</v>
      </c>
      <c r="G483" s="42"/>
      <c r="H483" s="43" t="s">
        <v>187</v>
      </c>
      <c r="J483" s="44"/>
      <c r="K483" s="35">
        <v>2.0000000000000001E-4</v>
      </c>
      <c r="L483" s="35">
        <v>0.97419999999999995</v>
      </c>
      <c r="M483" s="35">
        <v>5.0000000000000001E-4</v>
      </c>
      <c r="N483" s="21"/>
      <c r="O483" s="2" t="s">
        <v>187</v>
      </c>
      <c r="Q483" s="22"/>
      <c r="R483" s="2"/>
      <c r="S483" s="2"/>
      <c r="T483" s="2"/>
      <c r="U483" s="34">
        <f t="shared" si="7"/>
        <v>0.97419999999999995</v>
      </c>
    </row>
    <row r="484" spans="1:21" x14ac:dyDescent="0.2">
      <c r="A484" s="18" t="s">
        <v>1455</v>
      </c>
      <c r="B484" s="19" t="s">
        <v>1456</v>
      </c>
      <c r="C484" s="19" t="s">
        <v>1426</v>
      </c>
      <c r="D484" s="20">
        <v>1.5769556445000001</v>
      </c>
      <c r="E484" s="20">
        <v>11.911336274250001</v>
      </c>
      <c r="F484" s="1">
        <v>0.33412848560213843</v>
      </c>
      <c r="G484" s="42"/>
      <c r="H484" s="43" t="s">
        <v>187</v>
      </c>
      <c r="J484" s="44"/>
      <c r="K484" s="35">
        <v>1.0500000000000001E-2</v>
      </c>
      <c r="L484" s="35">
        <v>0.95189999999999997</v>
      </c>
      <c r="M484" s="35">
        <v>0</v>
      </c>
      <c r="N484" s="21"/>
      <c r="O484" s="2" t="s">
        <v>187</v>
      </c>
      <c r="Q484" s="22"/>
      <c r="R484" s="2"/>
      <c r="S484" s="2"/>
      <c r="T484" s="2"/>
      <c r="U484" s="34">
        <f t="shared" si="7"/>
        <v>0.95189999999999997</v>
      </c>
    </row>
    <row r="485" spans="1:21" x14ac:dyDescent="0.2">
      <c r="A485" s="18" t="s">
        <v>1457</v>
      </c>
      <c r="B485" s="19" t="s">
        <v>1458</v>
      </c>
      <c r="C485" s="19" t="s">
        <v>1426</v>
      </c>
      <c r="D485" s="20">
        <v>1.7220606732500001</v>
      </c>
      <c r="E485" s="20">
        <v>14.421189290000001</v>
      </c>
      <c r="F485" s="1">
        <v>0.20824948596961734</v>
      </c>
      <c r="G485" s="42"/>
      <c r="H485" s="43" t="s">
        <v>187</v>
      </c>
      <c r="J485" s="44"/>
      <c r="K485" s="35">
        <v>1.89E-2</v>
      </c>
      <c r="L485" s="35">
        <v>0.94679999999999997</v>
      </c>
      <c r="M485" s="35">
        <v>0</v>
      </c>
      <c r="N485" s="21"/>
      <c r="O485" s="2" t="s">
        <v>187</v>
      </c>
      <c r="Q485" s="22"/>
      <c r="R485" s="2"/>
      <c r="S485" s="2"/>
      <c r="T485" s="2"/>
      <c r="U485" s="34">
        <f t="shared" si="7"/>
        <v>0.94679999999999997</v>
      </c>
    </row>
    <row r="486" spans="1:21" x14ac:dyDescent="0.2">
      <c r="A486" s="18" t="s">
        <v>1460</v>
      </c>
      <c r="B486" s="19" t="s">
        <v>1461</v>
      </c>
      <c r="C486" s="19" t="s">
        <v>1426</v>
      </c>
      <c r="D486" s="20">
        <v>3.52652371875</v>
      </c>
      <c r="E486" s="20">
        <v>8.7948365847500014</v>
      </c>
      <c r="F486" s="1">
        <v>0.25034246717615111</v>
      </c>
      <c r="G486" s="42" t="s">
        <v>187</v>
      </c>
      <c r="J486" s="44"/>
      <c r="K486" s="35">
        <v>0.58640000000000003</v>
      </c>
      <c r="L486" s="35">
        <v>0.24079999999999999</v>
      </c>
      <c r="M486" s="35">
        <v>0</v>
      </c>
      <c r="N486" s="21"/>
      <c r="Q486" s="22" t="s">
        <v>187</v>
      </c>
      <c r="R486" s="2"/>
      <c r="S486" s="2"/>
      <c r="T486" s="2"/>
      <c r="U486" s="34">
        <f t="shared" si="7"/>
        <v>0.58640000000000003</v>
      </c>
    </row>
    <row r="487" spans="1:21" x14ac:dyDescent="0.2">
      <c r="A487" s="18" t="s">
        <v>1462</v>
      </c>
      <c r="B487" s="19" t="s">
        <v>1463</v>
      </c>
      <c r="C487" s="19" t="s">
        <v>1426</v>
      </c>
      <c r="D487" s="20">
        <v>0.464781683</v>
      </c>
      <c r="E487" s="20">
        <v>5.6370386577499998</v>
      </c>
      <c r="F487" s="1">
        <v>8.1426269600516521E-2</v>
      </c>
      <c r="G487" s="42"/>
      <c r="H487" s="43" t="s">
        <v>187</v>
      </c>
      <c r="J487" s="44"/>
      <c r="K487" s="35">
        <v>0</v>
      </c>
      <c r="L487" s="35">
        <v>0.91139999999999999</v>
      </c>
      <c r="M487" s="35">
        <v>3.5099999999999999E-2</v>
      </c>
      <c r="N487" s="21"/>
      <c r="O487" s="2" t="s">
        <v>187</v>
      </c>
      <c r="Q487" s="22"/>
      <c r="R487" s="2"/>
      <c r="S487" s="2"/>
      <c r="T487" s="2"/>
      <c r="U487" s="34">
        <f t="shared" si="7"/>
        <v>0.91139999999999999</v>
      </c>
    </row>
    <row r="488" spans="1:21" x14ac:dyDescent="0.2">
      <c r="A488" s="18" t="s">
        <v>1465</v>
      </c>
      <c r="B488" s="19" t="s">
        <v>1466</v>
      </c>
      <c r="C488" s="19" t="s">
        <v>1447</v>
      </c>
      <c r="D488" s="25">
        <v>1.7728847832499999</v>
      </c>
      <c r="E488" s="25">
        <v>0.79881061250000007</v>
      </c>
      <c r="F488" s="1">
        <v>0</v>
      </c>
      <c r="G488" s="42"/>
      <c r="J488" s="44" t="s">
        <v>187</v>
      </c>
      <c r="K488" s="35">
        <v>0</v>
      </c>
      <c r="L488" s="35">
        <v>0</v>
      </c>
      <c r="M488" s="35">
        <v>1.5900000000000001E-2</v>
      </c>
      <c r="N488" s="21"/>
      <c r="Q488" s="22"/>
      <c r="R488" s="2"/>
      <c r="S488" s="2"/>
      <c r="T488" s="2"/>
      <c r="U488" s="34">
        <f t="shared" si="7"/>
        <v>1.5900000000000001E-2</v>
      </c>
    </row>
    <row r="489" spans="1:21" x14ac:dyDescent="0.2">
      <c r="A489" s="18" t="s">
        <v>1467</v>
      </c>
      <c r="B489" s="19" t="s">
        <v>1468</v>
      </c>
      <c r="C489" s="19" t="s">
        <v>1469</v>
      </c>
      <c r="D489" s="1">
        <v>0.86995228899999999</v>
      </c>
      <c r="E489" s="1">
        <v>6.1818553787499999</v>
      </c>
      <c r="F489" s="1">
        <v>5.6499860539140107E-2</v>
      </c>
      <c r="G489" s="42"/>
      <c r="H489" s="43" t="s">
        <v>187</v>
      </c>
      <c r="J489" s="44"/>
      <c r="K489" s="35">
        <v>0</v>
      </c>
      <c r="L489" s="35">
        <v>0.92800000000000005</v>
      </c>
      <c r="M489" s="35">
        <v>7.3000000000000001E-3</v>
      </c>
      <c r="N489" s="21"/>
      <c r="O489" s="2" t="s">
        <v>187</v>
      </c>
      <c r="Q489" s="22"/>
      <c r="R489" s="2"/>
      <c r="S489" s="2"/>
      <c r="T489" s="2"/>
      <c r="U489" s="34">
        <f t="shared" si="7"/>
        <v>0.92800000000000005</v>
      </c>
    </row>
    <row r="490" spans="1:21" x14ac:dyDescent="0.2">
      <c r="A490" s="18" t="s">
        <v>1470</v>
      </c>
      <c r="B490" s="19" t="s">
        <v>1471</v>
      </c>
      <c r="C490" s="19" t="s">
        <v>1472</v>
      </c>
      <c r="D490" s="20">
        <v>2.5679625000000001</v>
      </c>
      <c r="E490" s="20">
        <v>8.4918470819999996</v>
      </c>
      <c r="F490" s="1">
        <v>0.25499279164387617</v>
      </c>
      <c r="G490" s="42"/>
      <c r="J490" s="44" t="s">
        <v>187</v>
      </c>
      <c r="K490" s="35">
        <v>0.17780000000000001</v>
      </c>
      <c r="L490" s="35">
        <v>0.64570000000000005</v>
      </c>
      <c r="M490" s="35">
        <v>0</v>
      </c>
      <c r="N490" s="21"/>
      <c r="Q490" s="22"/>
      <c r="R490" s="2"/>
      <c r="S490" s="2"/>
      <c r="T490" s="2"/>
      <c r="U490" s="34">
        <f t="shared" si="7"/>
        <v>0.64570000000000005</v>
      </c>
    </row>
    <row r="491" spans="1:21" x14ac:dyDescent="0.2">
      <c r="A491" s="18" t="s">
        <v>1473</v>
      </c>
      <c r="B491" s="19" t="s">
        <v>1474</v>
      </c>
      <c r="C491" s="19" t="s">
        <v>1475</v>
      </c>
      <c r="D491" s="20">
        <v>1.8409122362499999</v>
      </c>
      <c r="E491" s="20">
        <v>11.0940362525</v>
      </c>
      <c r="F491" s="1">
        <v>0.26506849465720322</v>
      </c>
      <c r="G491" s="42"/>
      <c r="H491" s="43" t="s">
        <v>187</v>
      </c>
      <c r="J491" s="44"/>
      <c r="K491" s="35">
        <v>2.87E-2</v>
      </c>
      <c r="L491" s="35">
        <v>0.91890000000000005</v>
      </c>
      <c r="M491" s="35">
        <v>0</v>
      </c>
      <c r="N491" s="21"/>
      <c r="O491" s="2" t="s">
        <v>187</v>
      </c>
      <c r="Q491" s="22"/>
      <c r="R491" s="2"/>
      <c r="S491" s="2"/>
      <c r="T491" s="2"/>
      <c r="U491" s="34">
        <f t="shared" si="7"/>
        <v>0.91890000000000005</v>
      </c>
    </row>
    <row r="492" spans="1:21" x14ac:dyDescent="0.2">
      <c r="A492" s="18" t="s">
        <v>1476</v>
      </c>
      <c r="B492" s="19" t="s">
        <v>1477</v>
      </c>
      <c r="C492" s="19" t="s">
        <v>1478</v>
      </c>
      <c r="D492" s="20">
        <v>1.495109856</v>
      </c>
      <c r="E492" s="20">
        <v>8.5240648089999986</v>
      </c>
      <c r="F492" s="1">
        <v>0.14077083897048132</v>
      </c>
      <c r="G492" s="42"/>
      <c r="H492" s="43" t="s">
        <v>187</v>
      </c>
      <c r="J492" s="44"/>
      <c r="K492" s="35">
        <v>5.4000000000000003E-3</v>
      </c>
      <c r="L492" s="35">
        <v>0.93</v>
      </c>
      <c r="M492" s="35">
        <v>2.0000000000000001E-4</v>
      </c>
      <c r="N492" s="21"/>
      <c r="O492" s="2" t="s">
        <v>187</v>
      </c>
      <c r="Q492" s="22"/>
      <c r="R492" s="2"/>
      <c r="S492" s="2"/>
      <c r="T492" s="2"/>
      <c r="U492" s="34">
        <f t="shared" si="7"/>
        <v>0.93</v>
      </c>
    </row>
    <row r="493" spans="1:21" x14ac:dyDescent="0.2">
      <c r="A493" s="18" t="s">
        <v>1479</v>
      </c>
      <c r="B493" s="19" t="s">
        <v>1480</v>
      </c>
      <c r="C493" s="19" t="s">
        <v>1481</v>
      </c>
      <c r="D493" s="20">
        <v>1.7744553507500003</v>
      </c>
      <c r="E493" s="20">
        <v>11.894905527000001</v>
      </c>
      <c r="F493" s="1">
        <v>0.17464793339547582</v>
      </c>
      <c r="G493" s="42"/>
      <c r="H493" s="43" t="s">
        <v>187</v>
      </c>
      <c r="J493" s="44"/>
      <c r="K493" s="35">
        <v>2.3099999999999999E-2</v>
      </c>
      <c r="L493" s="35">
        <v>0.93279999999999996</v>
      </c>
      <c r="M493" s="35">
        <v>0</v>
      </c>
      <c r="N493" s="21"/>
      <c r="O493" s="2" t="s">
        <v>187</v>
      </c>
      <c r="Q493" s="22"/>
      <c r="R493" s="2"/>
      <c r="S493" s="2"/>
      <c r="T493" s="2"/>
      <c r="U493" s="34">
        <f t="shared" si="7"/>
        <v>0.93279999999999996</v>
      </c>
    </row>
    <row r="494" spans="1:21" x14ac:dyDescent="0.2">
      <c r="A494" s="18" t="s">
        <v>1482</v>
      </c>
      <c r="B494" s="19" t="s">
        <v>1483</v>
      </c>
      <c r="C494" s="19" t="s">
        <v>1426</v>
      </c>
      <c r="D494" s="20">
        <v>0.42707382175000003</v>
      </c>
      <c r="E494" s="20">
        <v>0.46679033374999995</v>
      </c>
      <c r="F494" s="1">
        <v>0.15819960950970915</v>
      </c>
      <c r="G494" s="42"/>
      <c r="I494" s="43" t="s">
        <v>187</v>
      </c>
      <c r="J494" s="44"/>
      <c r="K494" s="35">
        <v>0</v>
      </c>
      <c r="L494" s="35">
        <v>0</v>
      </c>
      <c r="M494" s="35">
        <v>0.95940000000000003</v>
      </c>
      <c r="N494" s="21"/>
      <c r="O494" s="2" t="s">
        <v>187</v>
      </c>
      <c r="Q494" s="22"/>
      <c r="R494" s="2"/>
      <c r="S494" s="2"/>
      <c r="T494" s="2"/>
      <c r="U494" s="34">
        <f t="shared" si="7"/>
        <v>0.95940000000000003</v>
      </c>
    </row>
    <row r="495" spans="1:21" x14ac:dyDescent="0.2">
      <c r="A495" s="18" t="s">
        <v>1485</v>
      </c>
      <c r="B495" s="19" t="s">
        <v>1486</v>
      </c>
      <c r="C495" s="19" t="s">
        <v>1478</v>
      </c>
      <c r="D495" s="20">
        <v>7.4777411380000007</v>
      </c>
      <c r="E495" s="20">
        <v>23.179985894999998</v>
      </c>
      <c r="F495" s="1">
        <v>0.16285253920110251</v>
      </c>
      <c r="G495" s="42" t="s">
        <v>187</v>
      </c>
      <c r="J495" s="44"/>
      <c r="K495" s="35">
        <v>0.95389999999999997</v>
      </c>
      <c r="L495" s="35">
        <v>2.6100000000000002E-2</v>
      </c>
      <c r="M495" s="35">
        <v>0</v>
      </c>
      <c r="N495" s="21"/>
      <c r="Q495" s="22" t="s">
        <v>187</v>
      </c>
      <c r="R495" s="2"/>
      <c r="S495" s="2"/>
      <c r="T495" s="2"/>
      <c r="U495" s="34">
        <f t="shared" si="7"/>
        <v>0.95389999999999997</v>
      </c>
    </row>
    <row r="496" spans="1:21" x14ac:dyDescent="0.2">
      <c r="A496" s="18" t="s">
        <v>1487</v>
      </c>
      <c r="B496" s="19" t="s">
        <v>1488</v>
      </c>
      <c r="C496" s="19" t="s">
        <v>1426</v>
      </c>
      <c r="D496" s="20">
        <v>5.8860277732499995</v>
      </c>
      <c r="E496" s="20">
        <v>8.143858722500001</v>
      </c>
      <c r="F496" s="1">
        <v>0.72358344122408036</v>
      </c>
      <c r="G496" s="42" t="s">
        <v>187</v>
      </c>
      <c r="J496" s="44"/>
      <c r="K496" s="35">
        <v>0.86560000000000004</v>
      </c>
      <c r="L496" s="35">
        <v>1.2200000000000001E-2</v>
      </c>
      <c r="M496" s="35">
        <v>0</v>
      </c>
      <c r="N496" s="21"/>
      <c r="Q496" s="22" t="s">
        <v>187</v>
      </c>
      <c r="R496" s="2"/>
      <c r="S496" s="2"/>
      <c r="T496" s="2"/>
      <c r="U496" s="34">
        <f t="shared" si="7"/>
        <v>0.86560000000000004</v>
      </c>
    </row>
    <row r="497" spans="1:21" x14ac:dyDescent="0.2">
      <c r="A497" s="18" t="s">
        <v>1490</v>
      </c>
      <c r="B497" s="19" t="s">
        <v>1491</v>
      </c>
      <c r="C497" s="19" t="s">
        <v>1426</v>
      </c>
      <c r="D497" s="20">
        <v>0.69337579824999995</v>
      </c>
      <c r="E497" s="20">
        <v>14.220192923749998</v>
      </c>
      <c r="F497" s="1">
        <v>0.48731129714996863</v>
      </c>
      <c r="G497" s="42"/>
      <c r="H497" s="43" t="s">
        <v>187</v>
      </c>
      <c r="J497" s="44"/>
      <c r="K497" s="35">
        <v>0</v>
      </c>
      <c r="L497" s="35">
        <v>0.97030000000000005</v>
      </c>
      <c r="M497" s="35">
        <v>8.0000000000000004E-4</v>
      </c>
      <c r="N497" s="21"/>
      <c r="O497" s="2" t="s">
        <v>187</v>
      </c>
      <c r="Q497" s="22"/>
      <c r="R497" s="2"/>
      <c r="S497" s="2"/>
      <c r="T497" s="2"/>
      <c r="U497" s="34">
        <f t="shared" si="7"/>
        <v>0.97030000000000005</v>
      </c>
    </row>
    <row r="498" spans="1:21" x14ac:dyDescent="0.2">
      <c r="A498" s="18" t="s">
        <v>1493</v>
      </c>
      <c r="B498" s="19" t="s">
        <v>1494</v>
      </c>
      <c r="C498" s="19" t="s">
        <v>1495</v>
      </c>
      <c r="D498" s="20">
        <v>5.6780506675</v>
      </c>
      <c r="E498" s="20">
        <v>19.066596712500001</v>
      </c>
      <c r="F498" s="1">
        <v>0.17861246234960956</v>
      </c>
      <c r="G498" s="42" t="s">
        <v>187</v>
      </c>
      <c r="J498" s="44"/>
      <c r="K498" s="35">
        <v>0.92030000000000001</v>
      </c>
      <c r="L498" s="35">
        <v>5.67E-2</v>
      </c>
      <c r="M498" s="35">
        <v>0</v>
      </c>
      <c r="N498" s="21"/>
      <c r="Q498" s="22" t="s">
        <v>187</v>
      </c>
      <c r="R498" s="2"/>
      <c r="S498" s="2"/>
      <c r="T498" s="2"/>
      <c r="U498" s="34">
        <f t="shared" si="7"/>
        <v>0.92030000000000001</v>
      </c>
    </row>
    <row r="499" spans="1:21" x14ac:dyDescent="0.2">
      <c r="A499" s="18" t="s">
        <v>1496</v>
      </c>
      <c r="B499" s="19" t="s">
        <v>1497</v>
      </c>
      <c r="C499" s="19" t="s">
        <v>1426</v>
      </c>
      <c r="D499" s="20">
        <v>13.1451700815</v>
      </c>
      <c r="E499" s="20">
        <v>23.666371774999998</v>
      </c>
      <c r="F499" s="1">
        <v>0</v>
      </c>
      <c r="G499" s="42" t="s">
        <v>187</v>
      </c>
      <c r="J499" s="44"/>
      <c r="K499" s="35">
        <v>0.98050000000000004</v>
      </c>
      <c r="L499" s="35">
        <v>2.0999999999999999E-3</v>
      </c>
      <c r="M499" s="35">
        <v>0</v>
      </c>
      <c r="N499" s="21"/>
      <c r="Q499" s="22" t="s">
        <v>187</v>
      </c>
      <c r="R499" s="2"/>
      <c r="S499" s="2"/>
      <c r="T499" s="2"/>
      <c r="U499" s="34">
        <f t="shared" si="7"/>
        <v>0.98050000000000004</v>
      </c>
    </row>
    <row r="500" spans="1:21" x14ac:dyDescent="0.2">
      <c r="A500" s="18" t="s">
        <v>1498</v>
      </c>
      <c r="B500" s="19" t="s">
        <v>1499</v>
      </c>
      <c r="C500" s="19" t="s">
        <v>1500</v>
      </c>
      <c r="D500" s="20">
        <v>1.2848657217500001</v>
      </c>
      <c r="E500" s="20">
        <v>9.6595108695</v>
      </c>
      <c r="F500" s="1">
        <v>0.127776607680927</v>
      </c>
      <c r="G500" s="42"/>
      <c r="H500" s="43" t="s">
        <v>187</v>
      </c>
      <c r="J500" s="44"/>
      <c r="K500" s="35">
        <v>2.0999999999999999E-3</v>
      </c>
      <c r="L500" s="35">
        <v>0.95789999999999997</v>
      </c>
      <c r="M500" s="35">
        <v>2.0000000000000001E-4</v>
      </c>
      <c r="N500" s="21"/>
      <c r="O500" s="2" t="s">
        <v>187</v>
      </c>
      <c r="Q500" s="22"/>
      <c r="R500" s="2"/>
      <c r="S500" s="2"/>
      <c r="T500" s="2"/>
      <c r="U500" s="34">
        <f t="shared" si="7"/>
        <v>0.95789999999999997</v>
      </c>
    </row>
    <row r="501" spans="1:21" x14ac:dyDescent="0.2">
      <c r="A501" s="18" t="s">
        <v>1501</v>
      </c>
      <c r="B501" s="19" t="s">
        <v>1502</v>
      </c>
      <c r="C501" s="19" t="s">
        <v>1426</v>
      </c>
      <c r="D501" s="20">
        <v>4.2363260426666667</v>
      </c>
      <c r="E501" s="20">
        <v>15.281491026666666</v>
      </c>
      <c r="F501" s="1">
        <v>0</v>
      </c>
      <c r="G501" s="42" t="s">
        <v>187</v>
      </c>
      <c r="J501" s="44"/>
      <c r="K501" s="35">
        <v>0.80230000000000001</v>
      </c>
      <c r="L501" s="35">
        <v>0.15909999999999999</v>
      </c>
      <c r="M501" s="35">
        <v>0</v>
      </c>
      <c r="N501" s="21"/>
      <c r="Q501" s="22" t="s">
        <v>187</v>
      </c>
      <c r="R501" s="2"/>
      <c r="S501" s="2"/>
      <c r="T501" s="2"/>
      <c r="U501" s="34">
        <f t="shared" si="7"/>
        <v>0.80230000000000001</v>
      </c>
    </row>
    <row r="502" spans="1:21" x14ac:dyDescent="0.2">
      <c r="A502" s="18" t="s">
        <v>1503</v>
      </c>
      <c r="B502" s="19" t="s">
        <v>1504</v>
      </c>
      <c r="C502" s="19" t="s">
        <v>1505</v>
      </c>
      <c r="D502" s="20">
        <v>2.5357574469999999</v>
      </c>
      <c r="E502" s="20">
        <v>16.391822025749999</v>
      </c>
      <c r="F502" s="1">
        <v>0.33305180949382934</v>
      </c>
      <c r="G502" s="42"/>
      <c r="H502" s="43" t="s">
        <v>187</v>
      </c>
      <c r="J502" s="44"/>
      <c r="K502" s="35">
        <v>0.1666</v>
      </c>
      <c r="L502" s="35">
        <v>0.78690000000000004</v>
      </c>
      <c r="M502" s="35">
        <v>0</v>
      </c>
      <c r="N502" s="21"/>
      <c r="O502" s="2" t="s">
        <v>187</v>
      </c>
      <c r="Q502" s="22"/>
      <c r="R502" s="2"/>
      <c r="S502" s="2"/>
      <c r="T502" s="2"/>
      <c r="U502" s="34">
        <f t="shared" si="7"/>
        <v>0.78690000000000004</v>
      </c>
    </row>
    <row r="503" spans="1:21" x14ac:dyDescent="0.2">
      <c r="A503" s="18" t="s">
        <v>1506</v>
      </c>
      <c r="B503" s="19" t="s">
        <v>1507</v>
      </c>
      <c r="C503" s="19" t="s">
        <v>1426</v>
      </c>
      <c r="D503" s="20">
        <v>5.0424209392500003</v>
      </c>
      <c r="E503" s="20">
        <v>16.8183737375</v>
      </c>
      <c r="F503" s="1">
        <v>0.39768410125336057</v>
      </c>
      <c r="G503" s="42" t="s">
        <v>187</v>
      </c>
      <c r="J503" s="44"/>
      <c r="K503" s="35">
        <v>0.89429999999999998</v>
      </c>
      <c r="L503" s="35">
        <v>7.8399999999999997E-2</v>
      </c>
      <c r="M503" s="35">
        <v>0</v>
      </c>
      <c r="N503" s="21"/>
      <c r="Q503" s="22" t="s">
        <v>187</v>
      </c>
      <c r="R503" s="2"/>
      <c r="S503" s="2"/>
      <c r="T503" s="2"/>
      <c r="U503" s="34">
        <f t="shared" si="7"/>
        <v>0.89429999999999998</v>
      </c>
    </row>
    <row r="504" spans="1:21" x14ac:dyDescent="0.2">
      <c r="A504" s="18" t="s">
        <v>1508</v>
      </c>
      <c r="B504" s="19" t="s">
        <v>1509</v>
      </c>
      <c r="C504" s="19" t="s">
        <v>1478</v>
      </c>
      <c r="D504" s="20">
        <v>5.037357769333334</v>
      </c>
      <c r="E504" s="20">
        <v>12.379301809999999</v>
      </c>
      <c r="F504" s="1">
        <v>0.28443422942685626</v>
      </c>
      <c r="G504" s="42" t="s">
        <v>187</v>
      </c>
      <c r="J504" s="44"/>
      <c r="K504" s="35">
        <v>0.91359999999999997</v>
      </c>
      <c r="L504" s="35">
        <v>4.7699999999999999E-2</v>
      </c>
      <c r="M504" s="35">
        <v>0</v>
      </c>
      <c r="N504" s="21"/>
      <c r="Q504" s="22" t="s">
        <v>187</v>
      </c>
      <c r="R504" s="2"/>
      <c r="S504" s="2"/>
      <c r="T504" s="2"/>
      <c r="U504" s="34">
        <f t="shared" si="7"/>
        <v>0.91359999999999997</v>
      </c>
    </row>
    <row r="505" spans="1:21" x14ac:dyDescent="0.2">
      <c r="A505" s="18" t="s">
        <v>1510</v>
      </c>
      <c r="B505" s="19" t="s">
        <v>1511</v>
      </c>
      <c r="C505" s="19" t="s">
        <v>1426</v>
      </c>
      <c r="D505" s="20">
        <v>2.7831341280000004</v>
      </c>
      <c r="E505" s="20">
        <v>7.9985986277499999</v>
      </c>
      <c r="F505" s="1">
        <v>0</v>
      </c>
      <c r="G505" s="42"/>
      <c r="J505" s="44" t="s">
        <v>187</v>
      </c>
      <c r="K505" s="35">
        <v>0.24310000000000001</v>
      </c>
      <c r="L505" s="35">
        <v>0.52349999999999997</v>
      </c>
      <c r="M505" s="35">
        <v>0</v>
      </c>
      <c r="N505" s="21"/>
      <c r="Q505" s="22"/>
      <c r="R505" s="2"/>
      <c r="S505" s="2"/>
      <c r="T505" s="2"/>
      <c r="U505" s="34">
        <f t="shared" si="7"/>
        <v>0.52349999999999997</v>
      </c>
    </row>
    <row r="506" spans="1:21" x14ac:dyDescent="0.2">
      <c r="A506" s="18" t="s">
        <v>1512</v>
      </c>
      <c r="B506" s="19" t="s">
        <v>1513</v>
      </c>
      <c r="C506" s="19" t="s">
        <v>1434</v>
      </c>
      <c r="D506" s="20">
        <v>10.847413695666667</v>
      </c>
      <c r="E506" s="20">
        <v>18.110966680000001</v>
      </c>
      <c r="F506" s="1">
        <v>0.40514534142727499</v>
      </c>
      <c r="G506" s="42" t="s">
        <v>187</v>
      </c>
      <c r="J506" s="44"/>
      <c r="K506" s="35">
        <v>0.9849</v>
      </c>
      <c r="L506" s="35">
        <v>1.8E-3</v>
      </c>
      <c r="M506" s="35">
        <v>0</v>
      </c>
      <c r="N506" s="21"/>
      <c r="Q506" s="22" t="s">
        <v>187</v>
      </c>
      <c r="R506" s="2"/>
      <c r="S506" s="2"/>
      <c r="T506" s="2"/>
      <c r="U506" s="34">
        <f t="shared" si="7"/>
        <v>0.9849</v>
      </c>
    </row>
    <row r="507" spans="1:21" x14ac:dyDescent="0.2">
      <c r="A507" s="18" t="s">
        <v>1514</v>
      </c>
      <c r="B507" s="19" t="s">
        <v>1515</v>
      </c>
      <c r="C507" s="19" t="s">
        <v>1426</v>
      </c>
      <c r="D507" s="20">
        <v>2.0666596679999998</v>
      </c>
      <c r="E507" s="20">
        <v>6.3726380259999997</v>
      </c>
      <c r="F507" s="1">
        <v>0.1730308229012345</v>
      </c>
      <c r="G507" s="42"/>
      <c r="J507" s="44" t="s">
        <v>187</v>
      </c>
      <c r="K507" s="35">
        <v>2.81E-2</v>
      </c>
      <c r="L507" s="35">
        <v>0.68200000000000005</v>
      </c>
      <c r="M507" s="35">
        <v>1E-4</v>
      </c>
      <c r="N507" s="21"/>
      <c r="Q507" s="22"/>
      <c r="R507" s="2"/>
      <c r="S507" s="2"/>
      <c r="T507" s="2"/>
      <c r="U507" s="34">
        <f t="shared" si="7"/>
        <v>0.68200000000000005</v>
      </c>
    </row>
    <row r="508" spans="1:21" x14ac:dyDescent="0.2">
      <c r="A508" s="18" t="s">
        <v>1516</v>
      </c>
      <c r="B508" s="19" t="s">
        <v>1517</v>
      </c>
      <c r="C508" s="19" t="s">
        <v>1426</v>
      </c>
      <c r="D508" s="20">
        <v>0.99871392525000002</v>
      </c>
      <c r="E508" s="20">
        <v>17.234015240000002</v>
      </c>
      <c r="F508" s="1">
        <v>0.1977495118870306</v>
      </c>
      <c r="G508" s="42"/>
      <c r="H508" s="43" t="s">
        <v>187</v>
      </c>
      <c r="J508" s="44"/>
      <c r="K508" s="35">
        <v>5.0000000000000001E-4</v>
      </c>
      <c r="L508" s="35">
        <v>0.97150000000000003</v>
      </c>
      <c r="M508" s="35">
        <v>1E-4</v>
      </c>
      <c r="N508" s="21"/>
      <c r="O508" s="2" t="s">
        <v>187</v>
      </c>
      <c r="Q508" s="22"/>
      <c r="R508" s="2"/>
      <c r="S508" s="2"/>
      <c r="T508" s="2"/>
      <c r="U508" s="34">
        <f t="shared" si="7"/>
        <v>0.97150000000000003</v>
      </c>
    </row>
    <row r="509" spans="1:21" x14ac:dyDescent="0.2">
      <c r="A509" s="18" t="s">
        <v>1518</v>
      </c>
      <c r="B509" s="19" t="s">
        <v>1519</v>
      </c>
      <c r="C509" s="19" t="s">
        <v>1520</v>
      </c>
      <c r="D509" s="20">
        <v>0.85897041400000007</v>
      </c>
      <c r="E509" s="20">
        <v>11.29838762</v>
      </c>
      <c r="F509" s="1">
        <v>0</v>
      </c>
      <c r="G509" s="42"/>
      <c r="H509" s="43" t="s">
        <v>187</v>
      </c>
      <c r="J509" s="44"/>
      <c r="K509" s="35">
        <v>1E-4</v>
      </c>
      <c r="L509" s="35">
        <v>0.97370000000000001</v>
      </c>
      <c r="M509" s="35">
        <v>6.9999999999999999E-4</v>
      </c>
      <c r="N509" s="21"/>
      <c r="O509" s="2" t="s">
        <v>187</v>
      </c>
      <c r="Q509" s="22"/>
      <c r="R509" s="2"/>
      <c r="S509" s="2"/>
      <c r="T509" s="2"/>
      <c r="U509" s="34">
        <f t="shared" si="7"/>
        <v>0.97370000000000001</v>
      </c>
    </row>
    <row r="510" spans="1:21" x14ac:dyDescent="0.2">
      <c r="A510" s="18" t="s">
        <v>1521</v>
      </c>
      <c r="B510" s="19" t="s">
        <v>1522</v>
      </c>
      <c r="C510" s="19" t="s">
        <v>1426</v>
      </c>
      <c r="D510" s="20">
        <v>1.0759171034999999</v>
      </c>
      <c r="E510" s="20">
        <v>5.4234763345000001</v>
      </c>
      <c r="F510" s="1">
        <v>0.16778746463140101</v>
      </c>
      <c r="G510" s="42"/>
      <c r="H510" s="43" t="s">
        <v>187</v>
      </c>
      <c r="J510" s="44"/>
      <c r="K510" s="35">
        <v>1E-4</v>
      </c>
      <c r="L510" s="35">
        <v>0.86309999999999998</v>
      </c>
      <c r="M510" s="35">
        <v>7.1000000000000004E-3</v>
      </c>
      <c r="N510" s="21"/>
      <c r="O510" s="2" t="s">
        <v>187</v>
      </c>
      <c r="Q510" s="22"/>
      <c r="R510" s="2"/>
      <c r="S510" s="2"/>
      <c r="T510" s="2"/>
      <c r="U510" s="34">
        <f t="shared" si="7"/>
        <v>0.86309999999999998</v>
      </c>
    </row>
    <row r="511" spans="1:21" x14ac:dyDescent="0.2">
      <c r="A511" s="18" t="s">
        <v>1523</v>
      </c>
      <c r="B511" s="19" t="s">
        <v>1524</v>
      </c>
      <c r="C511" s="19" t="s">
        <v>1426</v>
      </c>
      <c r="D511" s="20">
        <v>2.138691224</v>
      </c>
      <c r="E511" s="20">
        <v>12.160151620500001</v>
      </c>
      <c r="F511" s="1">
        <v>0</v>
      </c>
      <c r="G511" s="42"/>
      <c r="H511" s="43" t="s">
        <v>187</v>
      </c>
      <c r="J511" s="44"/>
      <c r="K511" s="35">
        <v>7.5300000000000006E-2</v>
      </c>
      <c r="L511" s="35">
        <v>0.86870000000000003</v>
      </c>
      <c r="M511" s="35">
        <v>0</v>
      </c>
      <c r="N511" s="21"/>
      <c r="O511" s="2" t="s">
        <v>187</v>
      </c>
      <c r="Q511" s="22"/>
      <c r="R511" s="2"/>
      <c r="S511" s="2"/>
      <c r="T511" s="2"/>
      <c r="U511" s="34">
        <f t="shared" si="7"/>
        <v>0.86870000000000003</v>
      </c>
    </row>
    <row r="512" spans="1:21" x14ac:dyDescent="0.2">
      <c r="A512" s="18" t="s">
        <v>1525</v>
      </c>
      <c r="B512" s="19" t="s">
        <v>1526</v>
      </c>
      <c r="C512" s="19" t="s">
        <v>1527</v>
      </c>
      <c r="D512" s="20">
        <v>2.7265516220000001</v>
      </c>
      <c r="E512" s="20">
        <v>6.9460573554999998</v>
      </c>
      <c r="F512" s="1">
        <v>0.28249930269587531</v>
      </c>
      <c r="G512" s="42"/>
      <c r="J512" s="44" t="s">
        <v>187</v>
      </c>
      <c r="K512" s="35">
        <v>0.16839999999999999</v>
      </c>
      <c r="L512" s="35">
        <v>0.47510000000000002</v>
      </c>
      <c r="M512" s="35">
        <v>0</v>
      </c>
      <c r="N512" s="21"/>
      <c r="Q512" s="22"/>
      <c r="R512" s="2"/>
      <c r="S512" s="2"/>
      <c r="T512" s="2"/>
      <c r="U512" s="34">
        <f t="shared" si="7"/>
        <v>0.47510000000000002</v>
      </c>
    </row>
    <row r="513" spans="1:21" x14ac:dyDescent="0.2">
      <c r="A513" s="18" t="s">
        <v>1528</v>
      </c>
      <c r="B513" s="19" t="s">
        <v>1529</v>
      </c>
      <c r="C513" s="19" t="s">
        <v>1418</v>
      </c>
      <c r="D513" s="20">
        <v>1.74070054825</v>
      </c>
      <c r="E513" s="20">
        <v>2.5006508265000003</v>
      </c>
      <c r="F513" s="1">
        <v>7.2855083326855086E-2</v>
      </c>
      <c r="G513" s="42"/>
      <c r="J513" s="44" t="s">
        <v>187</v>
      </c>
      <c r="K513" s="35">
        <v>0</v>
      </c>
      <c r="L513" s="35">
        <v>1.7299999999999999E-2</v>
      </c>
      <c r="M513" s="35">
        <v>7.6E-3</v>
      </c>
      <c r="N513" s="21"/>
      <c r="Q513" s="22"/>
      <c r="R513" s="2"/>
      <c r="S513" s="2"/>
      <c r="T513" s="2"/>
      <c r="U513" s="34">
        <f t="shared" si="7"/>
        <v>1.7299999999999999E-2</v>
      </c>
    </row>
    <row r="514" spans="1:21" x14ac:dyDescent="0.2">
      <c r="A514" s="18" t="s">
        <v>1531</v>
      </c>
      <c r="B514" s="19" t="s">
        <v>1532</v>
      </c>
      <c r="C514" s="19" t="s">
        <v>1418</v>
      </c>
      <c r="D514" s="20">
        <v>1.6028325757499999</v>
      </c>
      <c r="E514" s="20">
        <v>9.68301284</v>
      </c>
      <c r="F514" s="1">
        <v>0.27423753063575074</v>
      </c>
      <c r="G514" s="42"/>
      <c r="H514" s="43" t="s">
        <v>187</v>
      </c>
      <c r="J514" s="44"/>
      <c r="K514" s="35">
        <v>1.0200000000000001E-2</v>
      </c>
      <c r="L514" s="35">
        <v>0.93510000000000004</v>
      </c>
      <c r="M514" s="35">
        <v>1E-4</v>
      </c>
      <c r="N514" s="21"/>
      <c r="O514" s="2" t="s">
        <v>187</v>
      </c>
      <c r="Q514" s="22"/>
      <c r="R514" s="2"/>
      <c r="S514" s="2"/>
      <c r="T514" s="2"/>
      <c r="U514" s="34">
        <f t="shared" ref="U514:U577" si="8">MAX(K514:M514)</f>
        <v>0.93510000000000004</v>
      </c>
    </row>
    <row r="515" spans="1:21" x14ac:dyDescent="0.2">
      <c r="A515" s="18" t="s">
        <v>1533</v>
      </c>
      <c r="B515" s="19" t="s">
        <v>1534</v>
      </c>
      <c r="C515" s="19" t="s">
        <v>1535</v>
      </c>
      <c r="D515" s="20">
        <v>1.2197573939999999</v>
      </c>
      <c r="E515" s="20">
        <v>8.5371445089999991</v>
      </c>
      <c r="F515" s="1">
        <v>4.0713134800269897E-2</v>
      </c>
      <c r="G515" s="42"/>
      <c r="H515" s="43" t="s">
        <v>187</v>
      </c>
      <c r="J515" s="44"/>
      <c r="K515" s="35">
        <v>1.1999999999999999E-3</v>
      </c>
      <c r="L515" s="35">
        <v>0.95140000000000002</v>
      </c>
      <c r="M515" s="35">
        <v>5.0000000000000001E-4</v>
      </c>
      <c r="N515" s="21"/>
      <c r="O515" s="2" t="s">
        <v>187</v>
      </c>
      <c r="Q515" s="22"/>
      <c r="R515" s="2"/>
      <c r="S515" s="2"/>
      <c r="T515" s="2"/>
      <c r="U515" s="34">
        <f t="shared" si="8"/>
        <v>0.95140000000000002</v>
      </c>
    </row>
    <row r="516" spans="1:21" x14ac:dyDescent="0.2">
      <c r="A516" s="18" t="s">
        <v>1536</v>
      </c>
      <c r="B516" s="19" t="s">
        <v>1537</v>
      </c>
      <c r="C516" s="19" t="s">
        <v>1418</v>
      </c>
      <c r="D516" s="20">
        <v>3.6926094030000005</v>
      </c>
      <c r="E516" s="20">
        <v>11.0905455775</v>
      </c>
      <c r="F516" s="1">
        <v>0.24751428971283773</v>
      </c>
      <c r="G516" s="42" t="s">
        <v>187</v>
      </c>
      <c r="J516" s="44"/>
      <c r="K516" s="35">
        <v>0.69489999999999996</v>
      </c>
      <c r="L516" s="35">
        <v>0.22320000000000001</v>
      </c>
      <c r="M516" s="35">
        <v>0</v>
      </c>
      <c r="N516" s="21"/>
      <c r="Q516" s="22" t="s">
        <v>187</v>
      </c>
      <c r="R516" s="2"/>
      <c r="S516" s="2"/>
      <c r="T516" s="2"/>
      <c r="U516" s="34">
        <f t="shared" si="8"/>
        <v>0.69489999999999996</v>
      </c>
    </row>
    <row r="517" spans="1:21" x14ac:dyDescent="0.2">
      <c r="A517" s="18" t="s">
        <v>1539</v>
      </c>
      <c r="B517" s="19" t="s">
        <v>1540</v>
      </c>
      <c r="C517" s="19" t="s">
        <v>1541</v>
      </c>
      <c r="D517" s="20">
        <v>1.2546115880000002</v>
      </c>
      <c r="E517" s="20">
        <v>11.4632729675</v>
      </c>
      <c r="F517" s="1">
        <v>0.53379443404778759</v>
      </c>
      <c r="G517" s="42"/>
      <c r="H517" s="43" t="s">
        <v>187</v>
      </c>
      <c r="J517" s="44"/>
      <c r="K517" s="35">
        <v>2.0999999999999999E-3</v>
      </c>
      <c r="L517" s="35">
        <v>0.96719999999999995</v>
      </c>
      <c r="M517" s="35">
        <v>1E-4</v>
      </c>
      <c r="N517" s="21"/>
      <c r="O517" s="2" t="s">
        <v>187</v>
      </c>
      <c r="Q517" s="22"/>
      <c r="R517" s="2"/>
      <c r="S517" s="2"/>
      <c r="T517" s="2"/>
      <c r="U517" s="34">
        <f t="shared" si="8"/>
        <v>0.96719999999999995</v>
      </c>
    </row>
    <row r="518" spans="1:21" x14ac:dyDescent="0.2">
      <c r="A518" s="18" t="s">
        <v>1542</v>
      </c>
      <c r="B518" s="19" t="s">
        <v>1543</v>
      </c>
      <c r="C518" s="19" t="s">
        <v>1418</v>
      </c>
      <c r="D518" s="20">
        <v>0.90590767024999996</v>
      </c>
      <c r="E518" s="20">
        <v>12.603966253000001</v>
      </c>
      <c r="F518" s="1">
        <v>0.418157822010986</v>
      </c>
      <c r="G518" s="42"/>
      <c r="H518" s="43" t="s">
        <v>187</v>
      </c>
      <c r="J518" s="44"/>
      <c r="K518" s="35">
        <v>2.0000000000000001E-4</v>
      </c>
      <c r="L518" s="35">
        <v>0.97450000000000003</v>
      </c>
      <c r="M518" s="35">
        <v>4.0000000000000002E-4</v>
      </c>
      <c r="N518" s="21"/>
      <c r="O518" s="2" t="s">
        <v>187</v>
      </c>
      <c r="Q518" s="22"/>
      <c r="R518" s="2"/>
      <c r="S518" s="2"/>
      <c r="T518" s="2"/>
      <c r="U518" s="34">
        <f t="shared" si="8"/>
        <v>0.97450000000000003</v>
      </c>
    </row>
    <row r="519" spans="1:21" x14ac:dyDescent="0.2">
      <c r="A519" s="18" t="s">
        <v>1544</v>
      </c>
      <c r="B519" s="19" t="s">
        <v>1545</v>
      </c>
      <c r="C519" s="19" t="s">
        <v>1418</v>
      </c>
      <c r="D519" s="20">
        <v>1.7936295444999999</v>
      </c>
      <c r="E519" s="20">
        <v>12.535055816499998</v>
      </c>
      <c r="F519" s="1">
        <v>5.1268391970730326E-2</v>
      </c>
      <c r="G519" s="42"/>
      <c r="H519" s="43" t="s">
        <v>187</v>
      </c>
      <c r="J519" s="44"/>
      <c r="K519" s="35">
        <v>2.5000000000000001E-2</v>
      </c>
      <c r="L519" s="35">
        <v>0.93340000000000001</v>
      </c>
      <c r="M519" s="35">
        <v>0</v>
      </c>
      <c r="N519" s="21"/>
      <c r="O519" s="2" t="s">
        <v>187</v>
      </c>
      <c r="Q519" s="22"/>
      <c r="R519" s="2"/>
      <c r="S519" s="2"/>
      <c r="T519" s="2"/>
      <c r="U519" s="34">
        <f t="shared" si="8"/>
        <v>0.93340000000000001</v>
      </c>
    </row>
    <row r="520" spans="1:21" x14ac:dyDescent="0.2">
      <c r="A520" s="18" t="s">
        <v>1546</v>
      </c>
      <c r="B520" s="19" t="s">
        <v>1547</v>
      </c>
      <c r="C520" s="19" t="s">
        <v>1418</v>
      </c>
      <c r="D520" s="20">
        <v>1.66893304275</v>
      </c>
      <c r="E520" s="20">
        <v>3.808447299</v>
      </c>
      <c r="F520" s="1">
        <v>0.22846788266554141</v>
      </c>
      <c r="G520" s="42"/>
      <c r="J520" s="44" t="s">
        <v>187</v>
      </c>
      <c r="K520" s="35">
        <v>5.0000000000000001E-4</v>
      </c>
      <c r="L520" s="35">
        <v>0.26179999999999998</v>
      </c>
      <c r="M520" s="35">
        <v>4.4000000000000003E-3</v>
      </c>
      <c r="N520" s="21"/>
      <c r="Q520" s="22"/>
      <c r="R520" s="2"/>
      <c r="S520" s="2"/>
      <c r="T520" s="2"/>
      <c r="U520" s="34">
        <f t="shared" si="8"/>
        <v>0.26179999999999998</v>
      </c>
    </row>
    <row r="521" spans="1:21" x14ac:dyDescent="0.2">
      <c r="A521" s="18" t="s">
        <v>1548</v>
      </c>
      <c r="B521" s="19" t="s">
        <v>1549</v>
      </c>
      <c r="C521" s="19" t="s">
        <v>1550</v>
      </c>
      <c r="D521" s="20">
        <v>0.88132254133333332</v>
      </c>
      <c r="E521" s="20">
        <v>11.798866285333332</v>
      </c>
      <c r="F521" s="1">
        <v>0.13842465832086348</v>
      </c>
      <c r="G521" s="42"/>
      <c r="H521" s="43" t="s">
        <v>187</v>
      </c>
      <c r="J521" s="44"/>
      <c r="K521" s="35">
        <v>2.0000000000000001E-4</v>
      </c>
      <c r="L521" s="35">
        <v>0.97409999999999997</v>
      </c>
      <c r="M521" s="35">
        <v>5.0000000000000001E-4</v>
      </c>
      <c r="N521" s="21"/>
      <c r="O521" s="2" t="s">
        <v>187</v>
      </c>
      <c r="Q521" s="22"/>
      <c r="R521" s="2"/>
      <c r="S521" s="2"/>
      <c r="T521" s="2"/>
      <c r="U521" s="34">
        <f t="shared" si="8"/>
        <v>0.97409999999999997</v>
      </c>
    </row>
    <row r="522" spans="1:21" x14ac:dyDescent="0.2">
      <c r="A522" s="18" t="s">
        <v>1552</v>
      </c>
      <c r="B522" s="19" t="s">
        <v>1553</v>
      </c>
      <c r="C522" s="19" t="s">
        <v>1554</v>
      </c>
      <c r="D522" s="20">
        <v>0.22120000000000001</v>
      </c>
      <c r="E522" s="20">
        <v>0.19880999999999999</v>
      </c>
      <c r="F522" s="1">
        <v>0</v>
      </c>
      <c r="G522" s="42"/>
      <c r="I522" s="43" t="s">
        <v>187</v>
      </c>
      <c r="J522" s="44"/>
      <c r="K522" s="35">
        <v>0</v>
      </c>
      <c r="L522" s="35">
        <v>0</v>
      </c>
      <c r="M522" s="35">
        <v>0.96140000000000003</v>
      </c>
      <c r="N522" s="21"/>
      <c r="O522" s="2" t="s">
        <v>187</v>
      </c>
      <c r="Q522" s="22"/>
      <c r="R522" s="2"/>
      <c r="S522" s="2"/>
      <c r="T522" s="2"/>
      <c r="U522" s="34">
        <f t="shared" si="8"/>
        <v>0.96140000000000003</v>
      </c>
    </row>
    <row r="523" spans="1:21" x14ac:dyDescent="0.2">
      <c r="A523" s="18" t="s">
        <v>1556</v>
      </c>
      <c r="B523" s="19" t="s">
        <v>1557</v>
      </c>
      <c r="C523" s="19" t="s">
        <v>1558</v>
      </c>
      <c r="D523" s="20">
        <v>0.17245105500000002</v>
      </c>
      <c r="E523" s="20">
        <v>0.169234615</v>
      </c>
      <c r="F523" s="1">
        <v>0</v>
      </c>
      <c r="G523" s="42"/>
      <c r="I523" s="43" t="s">
        <v>187</v>
      </c>
      <c r="J523" s="44"/>
      <c r="K523" s="35">
        <v>0</v>
      </c>
      <c r="L523" s="35">
        <v>0</v>
      </c>
      <c r="M523" s="35">
        <v>0.93220000000000003</v>
      </c>
      <c r="N523" s="21"/>
      <c r="O523" s="2" t="s">
        <v>187</v>
      </c>
      <c r="Q523" s="22"/>
      <c r="R523" s="2"/>
      <c r="S523" s="2"/>
      <c r="T523" s="2"/>
      <c r="U523" s="34">
        <f t="shared" si="8"/>
        <v>0.93220000000000003</v>
      </c>
    </row>
    <row r="524" spans="1:21" x14ac:dyDescent="0.2">
      <c r="A524" s="18" t="s">
        <v>1560</v>
      </c>
      <c r="B524" s="19" t="s">
        <v>1561</v>
      </c>
      <c r="C524" s="19" t="s">
        <v>1562</v>
      </c>
      <c r="D524" s="20">
        <v>1.225549601</v>
      </c>
      <c r="E524" s="20">
        <v>9.9812780720000003</v>
      </c>
      <c r="F524" s="1">
        <v>58.224871906202942</v>
      </c>
      <c r="G524" s="42"/>
      <c r="H524" s="43" t="s">
        <v>187</v>
      </c>
      <c r="J524" s="44"/>
      <c r="K524" s="35">
        <v>1.6000000000000001E-3</v>
      </c>
      <c r="L524" s="35">
        <v>0.96250000000000002</v>
      </c>
      <c r="M524" s="35">
        <v>2.0000000000000001E-4</v>
      </c>
      <c r="N524" s="21"/>
      <c r="O524" s="2" t="s">
        <v>187</v>
      </c>
      <c r="Q524" s="22"/>
      <c r="R524" s="2"/>
      <c r="S524" s="2"/>
      <c r="T524" s="2"/>
      <c r="U524" s="34">
        <f t="shared" si="8"/>
        <v>0.96250000000000002</v>
      </c>
    </row>
    <row r="525" spans="1:21" x14ac:dyDescent="0.2">
      <c r="A525" s="18" t="s">
        <v>1563</v>
      </c>
      <c r="B525" s="19" t="s">
        <v>1564</v>
      </c>
      <c r="C525" s="19" t="s">
        <v>1565</v>
      </c>
      <c r="D525" s="20">
        <v>10.727236084999999</v>
      </c>
      <c r="E525" s="20">
        <v>2.7153550429999997</v>
      </c>
      <c r="F525" s="1">
        <v>12.848064609517692</v>
      </c>
      <c r="G525" s="42"/>
      <c r="J525" s="44" t="s">
        <v>187</v>
      </c>
      <c r="K525" s="35">
        <v>5.0000000000000001E-4</v>
      </c>
      <c r="L525" s="35">
        <v>0</v>
      </c>
      <c r="M525" s="35">
        <v>0</v>
      </c>
      <c r="N525" s="21"/>
      <c r="Q525" s="22"/>
      <c r="R525" s="2"/>
      <c r="S525" s="2"/>
      <c r="T525" s="2"/>
      <c r="U525" s="34">
        <f t="shared" si="8"/>
        <v>5.0000000000000001E-4</v>
      </c>
    </row>
    <row r="526" spans="1:21" x14ac:dyDescent="0.2">
      <c r="A526" s="18" t="s">
        <v>1566</v>
      </c>
      <c r="B526" s="19" t="s">
        <v>1567</v>
      </c>
      <c r="C526" s="19" t="s">
        <v>1568</v>
      </c>
      <c r="D526" s="20">
        <v>1.7755826555000001</v>
      </c>
      <c r="E526" s="20">
        <v>10.833441825000001</v>
      </c>
      <c r="F526" s="1">
        <v>0.14812970816619656</v>
      </c>
      <c r="G526" s="42"/>
      <c r="H526" s="43" t="s">
        <v>187</v>
      </c>
      <c r="J526" s="44"/>
      <c r="K526" s="35">
        <v>2.24E-2</v>
      </c>
      <c r="L526" s="35">
        <v>0.92589999999999995</v>
      </c>
      <c r="M526" s="35">
        <v>0</v>
      </c>
      <c r="N526" s="21"/>
      <c r="O526" s="2" t="s">
        <v>187</v>
      </c>
      <c r="Q526" s="22"/>
      <c r="R526" s="2"/>
      <c r="S526" s="2"/>
      <c r="T526" s="2"/>
      <c r="U526" s="34">
        <f t="shared" si="8"/>
        <v>0.92589999999999995</v>
      </c>
    </row>
    <row r="527" spans="1:21" x14ac:dyDescent="0.2">
      <c r="A527" s="18" t="s">
        <v>1570</v>
      </c>
      <c r="B527" s="19" t="s">
        <v>1571</v>
      </c>
      <c r="C527" s="19" t="s">
        <v>1572</v>
      </c>
      <c r="D527" s="20">
        <v>0.39246000000000003</v>
      </c>
      <c r="E527" s="20">
        <v>0.22867999999999999</v>
      </c>
      <c r="F527" s="1">
        <v>2.1037766612076556</v>
      </c>
      <c r="G527" s="42"/>
      <c r="I527" s="43" t="s">
        <v>187</v>
      </c>
      <c r="J527" s="44"/>
      <c r="K527" s="35">
        <v>0</v>
      </c>
      <c r="L527" s="35">
        <v>0</v>
      </c>
      <c r="M527" s="35">
        <v>0.96719999999999995</v>
      </c>
      <c r="N527" s="21" t="s">
        <v>187</v>
      </c>
      <c r="Q527" s="22"/>
      <c r="R527" s="2"/>
      <c r="S527" s="2"/>
      <c r="T527" s="2"/>
      <c r="U527" s="34">
        <f t="shared" si="8"/>
        <v>0.96719999999999995</v>
      </c>
    </row>
    <row r="528" spans="1:21" x14ac:dyDescent="0.2">
      <c r="A528" s="18" t="s">
        <v>1573</v>
      </c>
      <c r="B528" s="19" t="s">
        <v>1574</v>
      </c>
      <c r="C528" s="19" t="s">
        <v>1575</v>
      </c>
      <c r="D528" s="20">
        <v>9.972190392249999</v>
      </c>
      <c r="E528" s="20">
        <v>8.0759343340000012</v>
      </c>
      <c r="F528" s="1">
        <v>0.24961823631624661</v>
      </c>
      <c r="G528" s="42" t="s">
        <v>187</v>
      </c>
      <c r="J528" s="44"/>
      <c r="K528" s="35">
        <v>0.89970000000000006</v>
      </c>
      <c r="L528" s="35">
        <v>5.0000000000000001E-4</v>
      </c>
      <c r="M528" s="35">
        <v>0</v>
      </c>
      <c r="N528" s="21"/>
      <c r="Q528" s="22" t="s">
        <v>187</v>
      </c>
      <c r="R528" s="2"/>
      <c r="S528" s="2"/>
      <c r="T528" s="2"/>
      <c r="U528" s="34">
        <f t="shared" si="8"/>
        <v>0.89970000000000006</v>
      </c>
    </row>
    <row r="529" spans="1:21" x14ac:dyDescent="0.2">
      <c r="A529" s="18" t="s">
        <v>1577</v>
      </c>
      <c r="B529" s="19" t="s">
        <v>1578</v>
      </c>
      <c r="C529" s="19" t="s">
        <v>1579</v>
      </c>
      <c r="D529" s="20">
        <v>0.99858709175000004</v>
      </c>
      <c r="E529" s="20">
        <v>3.81318132025</v>
      </c>
      <c r="F529" s="1">
        <v>5.6118104724663775E-2</v>
      </c>
      <c r="G529" s="42"/>
      <c r="J529" s="44" t="s">
        <v>187</v>
      </c>
      <c r="K529" s="35">
        <v>0</v>
      </c>
      <c r="L529" s="35">
        <v>0.59850000000000003</v>
      </c>
      <c r="M529" s="35">
        <v>5.45E-2</v>
      </c>
      <c r="N529" s="21"/>
      <c r="Q529" s="22"/>
      <c r="R529" s="2"/>
      <c r="S529" s="2"/>
      <c r="T529" s="2"/>
      <c r="U529" s="34">
        <f t="shared" si="8"/>
        <v>0.59850000000000003</v>
      </c>
    </row>
    <row r="530" spans="1:21" x14ac:dyDescent="0.2">
      <c r="A530" s="18" t="s">
        <v>1581</v>
      </c>
      <c r="B530" s="19" t="s">
        <v>1582</v>
      </c>
      <c r="C530" s="19" t="s">
        <v>1583</v>
      </c>
      <c r="D530" s="20">
        <v>4.83034858075</v>
      </c>
      <c r="E530" s="20">
        <v>6.5862412685000002</v>
      </c>
      <c r="F530" s="1">
        <v>0.10447144024214633</v>
      </c>
      <c r="G530" s="24" t="s">
        <v>187</v>
      </c>
      <c r="J530" s="44"/>
      <c r="K530" s="35">
        <v>0.59489999999999998</v>
      </c>
      <c r="L530" s="35">
        <v>3.1600000000000003E-2</v>
      </c>
      <c r="M530" s="35">
        <v>0</v>
      </c>
      <c r="N530" s="21"/>
      <c r="Q530" s="22" t="s">
        <v>187</v>
      </c>
      <c r="R530" s="2"/>
      <c r="S530" s="2"/>
      <c r="T530" s="2"/>
      <c r="U530" s="34">
        <f t="shared" si="8"/>
        <v>0.59489999999999998</v>
      </c>
    </row>
    <row r="531" spans="1:21" x14ac:dyDescent="0.2">
      <c r="A531" s="18" t="s">
        <v>1585</v>
      </c>
      <c r="B531" s="19" t="s">
        <v>1586</v>
      </c>
      <c r="C531" s="19" t="s">
        <v>1587</v>
      </c>
      <c r="D531" s="20">
        <v>0.49740096500000003</v>
      </c>
      <c r="E531" s="20">
        <v>5.9448767690000004</v>
      </c>
      <c r="F531" s="1">
        <v>0</v>
      </c>
      <c r="G531" s="42"/>
      <c r="H531" s="43" t="s">
        <v>187</v>
      </c>
      <c r="J531" s="44"/>
      <c r="K531" s="35">
        <v>0</v>
      </c>
      <c r="L531" s="35">
        <v>0.92459999999999998</v>
      </c>
      <c r="M531" s="35">
        <v>2.64E-2</v>
      </c>
      <c r="N531" s="21"/>
      <c r="O531" s="2" t="s">
        <v>187</v>
      </c>
      <c r="Q531" s="22"/>
      <c r="R531" s="2"/>
      <c r="S531" s="2"/>
      <c r="T531" s="2"/>
      <c r="U531" s="34">
        <f t="shared" si="8"/>
        <v>0.92459999999999998</v>
      </c>
    </row>
    <row r="532" spans="1:21" x14ac:dyDescent="0.2">
      <c r="A532" s="18" t="s">
        <v>1588</v>
      </c>
      <c r="B532" s="19" t="s">
        <v>1589</v>
      </c>
      <c r="C532" s="19" t="s">
        <v>1590</v>
      </c>
      <c r="D532" s="20">
        <v>1.9303523419999999</v>
      </c>
      <c r="E532" s="20">
        <v>4.4066039662499996</v>
      </c>
      <c r="F532" s="1">
        <v>0.15100871816818193</v>
      </c>
      <c r="G532" s="42"/>
      <c r="J532" s="44" t="s">
        <v>187</v>
      </c>
      <c r="K532" s="35">
        <v>3.3999999999999998E-3</v>
      </c>
      <c r="L532" s="35">
        <v>0.3241</v>
      </c>
      <c r="M532" s="35">
        <v>1E-3</v>
      </c>
      <c r="N532" s="21"/>
      <c r="Q532" s="22"/>
      <c r="R532" s="2"/>
      <c r="S532" s="2"/>
      <c r="T532" s="2"/>
      <c r="U532" s="34">
        <f t="shared" si="8"/>
        <v>0.3241</v>
      </c>
    </row>
    <row r="533" spans="1:21" x14ac:dyDescent="0.2">
      <c r="A533" s="18" t="s">
        <v>1591</v>
      </c>
      <c r="B533" s="19" t="s">
        <v>1592</v>
      </c>
      <c r="C533" s="19" t="s">
        <v>1593</v>
      </c>
      <c r="D533" s="20">
        <v>2.0157369913333332</v>
      </c>
      <c r="E533" s="20">
        <v>7.4874356249999998</v>
      </c>
      <c r="F533" s="1">
        <v>0.23070776386805533</v>
      </c>
      <c r="G533" s="42"/>
      <c r="H533" s="49" t="s">
        <v>187</v>
      </c>
      <c r="J533" s="44"/>
      <c r="K533" s="35">
        <v>3.4700000000000002E-2</v>
      </c>
      <c r="L533" s="35">
        <v>0.79849999999999999</v>
      </c>
      <c r="M533" s="35">
        <v>1E-4</v>
      </c>
      <c r="N533" s="21"/>
      <c r="O533" s="2" t="s">
        <v>187</v>
      </c>
      <c r="Q533" s="22"/>
      <c r="R533" s="2"/>
      <c r="S533" s="2"/>
      <c r="T533" s="2"/>
      <c r="U533" s="34">
        <f t="shared" si="8"/>
        <v>0.79849999999999999</v>
      </c>
    </row>
    <row r="534" spans="1:21" x14ac:dyDescent="0.2">
      <c r="A534" s="18" t="s">
        <v>1594</v>
      </c>
      <c r="B534" s="19" t="s">
        <v>1595</v>
      </c>
      <c r="C534" s="19" t="s">
        <v>1596</v>
      </c>
      <c r="D534" s="20">
        <v>0.39192282066666667</v>
      </c>
      <c r="E534" s="20">
        <v>1.67852631975</v>
      </c>
      <c r="F534" s="1">
        <v>0.18769445196049542</v>
      </c>
      <c r="G534" s="42"/>
      <c r="I534" s="43" t="s">
        <v>187</v>
      </c>
      <c r="J534" s="44"/>
      <c r="K534" s="35">
        <v>0</v>
      </c>
      <c r="L534" s="35">
        <v>1.47E-2</v>
      </c>
      <c r="M534" s="35">
        <v>0.86990000000000001</v>
      </c>
      <c r="N534" s="21" t="s">
        <v>187</v>
      </c>
      <c r="Q534" s="22"/>
      <c r="R534" s="2"/>
      <c r="S534" s="2"/>
      <c r="T534" s="2"/>
      <c r="U534" s="34">
        <f t="shared" si="8"/>
        <v>0.86990000000000001</v>
      </c>
    </row>
    <row r="535" spans="1:21" x14ac:dyDescent="0.2">
      <c r="A535" s="18" t="s">
        <v>1597</v>
      </c>
      <c r="B535" s="19" t="s">
        <v>1598</v>
      </c>
      <c r="C535" s="19" t="s">
        <v>1599</v>
      </c>
      <c r="D535" s="20">
        <v>0.97817735666666661</v>
      </c>
      <c r="E535" s="20">
        <v>2.4341067110000001</v>
      </c>
      <c r="F535" s="1">
        <v>0.32846529093077953</v>
      </c>
      <c r="G535" s="42"/>
      <c r="J535" s="44" t="s">
        <v>187</v>
      </c>
      <c r="K535" s="35">
        <v>0</v>
      </c>
      <c r="L535" s="35">
        <v>9.1899999999999996E-2</v>
      </c>
      <c r="M535" s="35">
        <v>0.23910000000000001</v>
      </c>
      <c r="N535" s="21"/>
      <c r="Q535" s="22"/>
      <c r="R535" s="2"/>
      <c r="S535" s="2"/>
      <c r="T535" s="2"/>
      <c r="U535" s="34">
        <f t="shared" si="8"/>
        <v>0.23910000000000001</v>
      </c>
    </row>
    <row r="536" spans="1:21" x14ac:dyDescent="0.2">
      <c r="A536" s="18" t="s">
        <v>1600</v>
      </c>
      <c r="B536" s="19" t="s">
        <v>1601</v>
      </c>
      <c r="C536" s="19" t="s">
        <v>1602</v>
      </c>
      <c r="D536" s="20">
        <v>0.53757510649999996</v>
      </c>
      <c r="E536" s="20">
        <v>3.6690143669999999</v>
      </c>
      <c r="F536" s="1">
        <v>0.10928262499013704</v>
      </c>
      <c r="G536" s="42"/>
      <c r="H536" s="43" t="s">
        <v>187</v>
      </c>
      <c r="J536" s="44"/>
      <c r="K536" s="35">
        <v>0</v>
      </c>
      <c r="L536" s="35">
        <v>0.65039999999999998</v>
      </c>
      <c r="M536" s="35">
        <v>0.2026</v>
      </c>
      <c r="N536" s="21"/>
      <c r="O536" s="2" t="s">
        <v>187</v>
      </c>
      <c r="Q536" s="22"/>
      <c r="R536" s="2"/>
      <c r="S536" s="2"/>
      <c r="T536" s="2"/>
      <c r="U536" s="34">
        <f t="shared" si="8"/>
        <v>0.65039999999999998</v>
      </c>
    </row>
    <row r="537" spans="1:21" x14ac:dyDescent="0.2">
      <c r="A537" s="18" t="s">
        <v>1603</v>
      </c>
      <c r="B537" s="19" t="s">
        <v>1604</v>
      </c>
      <c r="C537" s="19" t="s">
        <v>1605</v>
      </c>
      <c r="D537" s="20">
        <v>0.76854937450000005</v>
      </c>
      <c r="E537" s="20">
        <v>13.016506709249999</v>
      </c>
      <c r="F537" s="1">
        <v>0.16498287764982289</v>
      </c>
      <c r="G537" s="42"/>
      <c r="H537" s="43" t="s">
        <v>187</v>
      </c>
      <c r="J537" s="44"/>
      <c r="K537" s="35">
        <v>1E-4</v>
      </c>
      <c r="L537" s="35">
        <v>0.97350000000000003</v>
      </c>
      <c r="M537" s="35">
        <v>6.9999999999999999E-4</v>
      </c>
      <c r="N537" s="21"/>
      <c r="O537" s="2" t="s">
        <v>187</v>
      </c>
      <c r="Q537" s="22"/>
      <c r="R537" s="2"/>
      <c r="S537" s="2"/>
      <c r="T537" s="2"/>
      <c r="U537" s="34">
        <f t="shared" si="8"/>
        <v>0.97350000000000003</v>
      </c>
    </row>
    <row r="538" spans="1:21" x14ac:dyDescent="0.2">
      <c r="A538" s="18" t="s">
        <v>1606</v>
      </c>
      <c r="B538" s="19" t="s">
        <v>1607</v>
      </c>
      <c r="C538" s="19" t="s">
        <v>1608</v>
      </c>
      <c r="D538" s="20">
        <v>1.0031566666666667</v>
      </c>
      <c r="E538" s="20">
        <v>6.2301068624999996</v>
      </c>
      <c r="F538" s="1">
        <v>0</v>
      </c>
      <c r="G538" s="42"/>
      <c r="H538" s="43" t="s">
        <v>187</v>
      </c>
      <c r="J538" s="44"/>
      <c r="K538" s="35">
        <v>1E-4</v>
      </c>
      <c r="L538" s="35">
        <v>0.91890000000000005</v>
      </c>
      <c r="M538" s="35">
        <v>4.4999999999999997E-3</v>
      </c>
      <c r="N538" s="21"/>
      <c r="O538" s="2" t="s">
        <v>187</v>
      </c>
      <c r="Q538" s="22"/>
      <c r="R538" s="2"/>
      <c r="S538" s="2"/>
      <c r="T538" s="2"/>
      <c r="U538" s="34">
        <f t="shared" si="8"/>
        <v>0.91890000000000005</v>
      </c>
    </row>
    <row r="539" spans="1:21" x14ac:dyDescent="0.2">
      <c r="A539" s="18" t="s">
        <v>1609</v>
      </c>
      <c r="B539" s="19" t="s">
        <v>1610</v>
      </c>
      <c r="C539" s="19" t="s">
        <v>1611</v>
      </c>
      <c r="D539" s="20">
        <v>0.164200869</v>
      </c>
      <c r="E539" s="20">
        <v>16.57566984</v>
      </c>
      <c r="F539" s="1">
        <v>0</v>
      </c>
      <c r="G539" s="42"/>
      <c r="H539" s="49" t="s">
        <v>187</v>
      </c>
      <c r="J539" s="44"/>
      <c r="K539" s="35">
        <v>0</v>
      </c>
      <c r="L539" s="35">
        <v>0.35199999999999998</v>
      </c>
      <c r="M539" s="35">
        <v>1.9E-3</v>
      </c>
      <c r="N539" s="21"/>
      <c r="O539" s="2" t="s">
        <v>187</v>
      </c>
      <c r="Q539" s="22"/>
      <c r="R539" s="2"/>
      <c r="S539" s="2"/>
      <c r="T539" s="2"/>
      <c r="U539" s="34">
        <f t="shared" si="8"/>
        <v>0.35199999999999998</v>
      </c>
    </row>
    <row r="540" spans="1:21" x14ac:dyDescent="0.2">
      <c r="A540" s="18" t="s">
        <v>1612</v>
      </c>
      <c r="B540" s="19" t="s">
        <v>1613</v>
      </c>
      <c r="C540" s="19" t="s">
        <v>1614</v>
      </c>
      <c r="D540" s="20">
        <v>0.59750257699999998</v>
      </c>
      <c r="E540" s="20">
        <v>20.946366017499997</v>
      </c>
      <c r="F540" s="1">
        <v>0.31383728202297639</v>
      </c>
      <c r="G540" s="42"/>
      <c r="H540" s="43" t="s">
        <v>187</v>
      </c>
      <c r="J540" s="44"/>
      <c r="K540" s="35">
        <v>0</v>
      </c>
      <c r="L540" s="35">
        <v>0.9325</v>
      </c>
      <c r="M540" s="35">
        <v>8.0000000000000004E-4</v>
      </c>
      <c r="N540" s="21"/>
      <c r="O540" s="2" t="s">
        <v>187</v>
      </c>
      <c r="Q540" s="22"/>
      <c r="R540" s="2"/>
      <c r="S540" s="2"/>
      <c r="T540" s="2"/>
      <c r="U540" s="34">
        <f t="shared" si="8"/>
        <v>0.9325</v>
      </c>
    </row>
    <row r="541" spans="1:21" x14ac:dyDescent="0.2">
      <c r="A541" s="18" t="s">
        <v>1615</v>
      </c>
      <c r="B541" s="19" t="s">
        <v>1616</v>
      </c>
      <c r="C541" s="19" t="s">
        <v>1617</v>
      </c>
      <c r="D541" s="20">
        <v>4.8619797330000001</v>
      </c>
      <c r="E541" s="20">
        <v>7.8417968782500012</v>
      </c>
      <c r="F541" s="1">
        <v>9.748215374707371E-2</v>
      </c>
      <c r="G541" s="42" t="s">
        <v>187</v>
      </c>
      <c r="J541" s="44"/>
      <c r="K541" s="35">
        <v>0.78100000000000003</v>
      </c>
      <c r="L541" s="35">
        <v>3.7999999999999999E-2</v>
      </c>
      <c r="M541" s="35">
        <v>0</v>
      </c>
      <c r="N541" s="21"/>
      <c r="Q541" s="22" t="s">
        <v>187</v>
      </c>
      <c r="R541" s="2"/>
      <c r="S541" s="2"/>
      <c r="T541" s="2"/>
      <c r="U541" s="34">
        <f t="shared" si="8"/>
        <v>0.78100000000000003</v>
      </c>
    </row>
    <row r="542" spans="1:21" x14ac:dyDescent="0.2">
      <c r="A542" s="18" t="s">
        <v>1618</v>
      </c>
      <c r="B542" s="19" t="s">
        <v>1619</v>
      </c>
      <c r="C542" s="19" t="s">
        <v>1620</v>
      </c>
      <c r="D542" s="20">
        <v>2.16219041</v>
      </c>
      <c r="E542" s="20">
        <v>5.0308521482500002</v>
      </c>
      <c r="F542" s="1">
        <v>0.1258405984735094</v>
      </c>
      <c r="G542" s="42"/>
      <c r="J542" s="44" t="s">
        <v>187</v>
      </c>
      <c r="K542" s="35">
        <v>1.41E-2</v>
      </c>
      <c r="L542" s="35">
        <v>0.38850000000000001</v>
      </c>
      <c r="M542" s="35">
        <v>2.9999999999999997E-4</v>
      </c>
      <c r="N542" s="21"/>
      <c r="Q542" s="22"/>
      <c r="R542" s="2"/>
      <c r="S542" s="2"/>
      <c r="T542" s="2"/>
      <c r="U542" s="34">
        <f t="shared" si="8"/>
        <v>0.38850000000000001</v>
      </c>
    </row>
    <row r="543" spans="1:21" x14ac:dyDescent="0.2">
      <c r="A543" s="18" t="s">
        <v>1622</v>
      </c>
      <c r="B543" s="19" t="s">
        <v>1623</v>
      </c>
      <c r="C543" s="19" t="s">
        <v>1624</v>
      </c>
      <c r="D543" s="20">
        <v>1.8076348370000002</v>
      </c>
      <c r="E543" s="20">
        <v>10.542700041250001</v>
      </c>
      <c r="F543" s="1">
        <v>0.16446494057921984</v>
      </c>
      <c r="G543" s="42"/>
      <c r="H543" s="43" t="s">
        <v>187</v>
      </c>
      <c r="J543" s="44"/>
      <c r="K543" s="35">
        <v>2.4799999999999999E-2</v>
      </c>
      <c r="L543" s="35">
        <v>0.91910000000000003</v>
      </c>
      <c r="M543" s="35">
        <v>0</v>
      </c>
      <c r="N543" s="21"/>
      <c r="O543" s="2" t="s">
        <v>187</v>
      </c>
      <c r="Q543" s="22"/>
      <c r="R543" s="2"/>
      <c r="S543" s="2"/>
      <c r="T543" s="2"/>
      <c r="U543" s="34">
        <f t="shared" si="8"/>
        <v>0.91910000000000003</v>
      </c>
    </row>
    <row r="544" spans="1:21" x14ac:dyDescent="0.2">
      <c r="A544" s="18" t="s">
        <v>1625</v>
      </c>
      <c r="B544" s="19" t="s">
        <v>1626</v>
      </c>
      <c r="C544" s="19" t="s">
        <v>1627</v>
      </c>
      <c r="D544" s="20">
        <v>0.32123860249999997</v>
      </c>
      <c r="E544" s="20">
        <v>1.3753220709999998</v>
      </c>
      <c r="F544" s="1">
        <v>0</v>
      </c>
      <c r="G544" s="42"/>
      <c r="I544" s="43" t="s">
        <v>187</v>
      </c>
      <c r="J544" s="44"/>
      <c r="K544" s="35">
        <v>0</v>
      </c>
      <c r="L544" s="35">
        <v>4.4999999999999997E-3</v>
      </c>
      <c r="M544" s="35">
        <v>0.90429999999999999</v>
      </c>
      <c r="N544" s="21"/>
      <c r="O544" s="2" t="s">
        <v>187</v>
      </c>
      <c r="Q544" s="22"/>
      <c r="R544" s="2"/>
      <c r="S544" s="2"/>
      <c r="T544" s="2"/>
      <c r="U544" s="34">
        <f t="shared" si="8"/>
        <v>0.90429999999999999</v>
      </c>
    </row>
    <row r="545" spans="1:21" x14ac:dyDescent="0.2">
      <c r="A545" s="18" t="s">
        <v>1628</v>
      </c>
      <c r="B545" s="19" t="s">
        <v>1629</v>
      </c>
      <c r="C545" s="19" t="s">
        <v>1630</v>
      </c>
      <c r="D545" s="20">
        <v>1.75048338875</v>
      </c>
      <c r="E545" s="20">
        <v>11.490670176666667</v>
      </c>
      <c r="F545" s="1">
        <v>0.28972602904367434</v>
      </c>
      <c r="G545" s="42"/>
      <c r="H545" s="43" t="s">
        <v>187</v>
      </c>
      <c r="J545" s="44"/>
      <c r="K545" s="35">
        <v>2.0899999999999998E-2</v>
      </c>
      <c r="L545" s="35">
        <v>0.93340000000000001</v>
      </c>
      <c r="M545" s="35">
        <v>0</v>
      </c>
      <c r="N545" s="21"/>
      <c r="O545" s="2" t="s">
        <v>187</v>
      </c>
      <c r="P545" s="2" t="s">
        <v>187</v>
      </c>
      <c r="Q545" s="22"/>
      <c r="R545" s="2"/>
      <c r="S545" s="2"/>
      <c r="T545" s="2"/>
      <c r="U545" s="34">
        <f t="shared" si="8"/>
        <v>0.93340000000000001</v>
      </c>
    </row>
    <row r="546" spans="1:21" x14ac:dyDescent="0.2">
      <c r="A546" s="18" t="s">
        <v>1631</v>
      </c>
      <c r="B546" s="19" t="s">
        <v>1632</v>
      </c>
      <c r="C546" s="19" t="s">
        <v>1633</v>
      </c>
      <c r="D546" s="20">
        <v>0.78908601225000008</v>
      </c>
      <c r="E546" s="20">
        <v>4.3942138445000003</v>
      </c>
      <c r="F546" s="1">
        <v>0.19349683421193828</v>
      </c>
      <c r="G546" s="42"/>
      <c r="H546" s="43" t="s">
        <v>187</v>
      </c>
      <c r="J546" s="44"/>
      <c r="K546" s="35">
        <v>0</v>
      </c>
      <c r="L546" s="35">
        <v>0.79730000000000001</v>
      </c>
      <c r="M546" s="35">
        <v>5.0999999999999997E-2</v>
      </c>
      <c r="N546" s="21"/>
      <c r="O546" s="2" t="s">
        <v>187</v>
      </c>
      <c r="Q546" s="22"/>
      <c r="R546" s="2"/>
      <c r="S546" s="2"/>
      <c r="T546" s="2"/>
      <c r="U546" s="34">
        <f t="shared" si="8"/>
        <v>0.79730000000000001</v>
      </c>
    </row>
    <row r="547" spans="1:21" x14ac:dyDescent="0.2">
      <c r="A547" s="18" t="s">
        <v>1634</v>
      </c>
      <c r="B547" s="19" t="s">
        <v>1635</v>
      </c>
      <c r="C547" s="19" t="s">
        <v>1636</v>
      </c>
      <c r="D547" s="20">
        <v>0.42093837100000003</v>
      </c>
      <c r="E547" s="20">
        <v>5.018928453</v>
      </c>
      <c r="F547" s="1">
        <v>8.1426269600507001E-2</v>
      </c>
      <c r="G547" s="42"/>
      <c r="H547" s="43" t="s">
        <v>187</v>
      </c>
      <c r="J547" s="44"/>
      <c r="K547" s="35">
        <v>0</v>
      </c>
      <c r="L547" s="35">
        <v>0.87429999999999997</v>
      </c>
      <c r="M547" s="35">
        <v>6.0100000000000001E-2</v>
      </c>
      <c r="N547" s="21"/>
      <c r="O547" s="2" t="s">
        <v>187</v>
      </c>
      <c r="Q547" s="22"/>
      <c r="R547" s="2"/>
      <c r="S547" s="2"/>
      <c r="T547" s="2"/>
      <c r="U547" s="34">
        <f t="shared" si="8"/>
        <v>0.87429999999999997</v>
      </c>
    </row>
    <row r="548" spans="1:21" x14ac:dyDescent="0.2">
      <c r="A548" s="18" t="s">
        <v>1637</v>
      </c>
      <c r="B548" s="19" t="s">
        <v>1638</v>
      </c>
      <c r="C548" s="19" t="s">
        <v>1639</v>
      </c>
      <c r="D548" s="20">
        <v>0.87821634250000002</v>
      </c>
      <c r="E548" s="20">
        <v>5.0488857605000002</v>
      </c>
      <c r="F548" s="1">
        <v>9.5465281600579821E-2</v>
      </c>
      <c r="G548" s="42"/>
      <c r="H548" s="43" t="s">
        <v>187</v>
      </c>
      <c r="J548" s="44"/>
      <c r="K548" s="35">
        <v>0</v>
      </c>
      <c r="L548" s="35">
        <v>0.86409999999999998</v>
      </c>
      <c r="M548" s="35">
        <v>1.9400000000000001E-2</v>
      </c>
      <c r="N548" s="21"/>
      <c r="O548" s="2" t="s">
        <v>187</v>
      </c>
      <c r="Q548" s="22"/>
      <c r="R548" s="2"/>
      <c r="S548" s="2"/>
      <c r="T548" s="2"/>
      <c r="U548" s="34">
        <f t="shared" si="8"/>
        <v>0.86409999999999998</v>
      </c>
    </row>
    <row r="549" spans="1:21" x14ac:dyDescent="0.2">
      <c r="A549" s="18" t="s">
        <v>1640</v>
      </c>
      <c r="B549" s="19" t="s">
        <v>1641</v>
      </c>
      <c r="C549" s="19" t="s">
        <v>1642</v>
      </c>
      <c r="D549" s="20">
        <v>0.72477241275000004</v>
      </c>
      <c r="E549" s="20">
        <v>0.73063999999999996</v>
      </c>
      <c r="F549" s="1">
        <v>0</v>
      </c>
      <c r="G549" s="42"/>
      <c r="I549" s="43" t="s">
        <v>187</v>
      </c>
      <c r="J549" s="44"/>
      <c r="K549" s="35">
        <v>0</v>
      </c>
      <c r="L549" s="35">
        <v>0</v>
      </c>
      <c r="M549" s="35">
        <v>0.82210000000000005</v>
      </c>
      <c r="N549" s="21"/>
      <c r="O549" s="2" t="s">
        <v>187</v>
      </c>
      <c r="Q549" s="22"/>
      <c r="R549" s="2"/>
      <c r="S549" s="2"/>
      <c r="T549" s="2"/>
      <c r="U549" s="34">
        <f t="shared" si="8"/>
        <v>0.82210000000000005</v>
      </c>
    </row>
    <row r="550" spans="1:21" x14ac:dyDescent="0.2">
      <c r="A550" s="18" t="s">
        <v>1644</v>
      </c>
      <c r="B550" s="19" t="s">
        <v>1645</v>
      </c>
      <c r="C550" s="19" t="s">
        <v>1646</v>
      </c>
      <c r="D550" s="20">
        <v>1.1528716006666666</v>
      </c>
      <c r="E550" s="20">
        <v>5.7757267214999999</v>
      </c>
      <c r="F550" s="1">
        <v>0.13541542661820155</v>
      </c>
      <c r="G550" s="42"/>
      <c r="H550" s="43" t="s">
        <v>187</v>
      </c>
      <c r="J550" s="44"/>
      <c r="K550" s="35">
        <v>2.9999999999999997E-4</v>
      </c>
      <c r="L550" s="35">
        <v>0.87549999999999994</v>
      </c>
      <c r="M550" s="35">
        <v>4.0000000000000001E-3</v>
      </c>
      <c r="N550" s="21"/>
      <c r="O550" s="2" t="s">
        <v>187</v>
      </c>
      <c r="Q550" s="22"/>
      <c r="R550" s="2"/>
      <c r="S550" s="2"/>
      <c r="T550" s="2"/>
      <c r="U550" s="34">
        <f t="shared" si="8"/>
        <v>0.87549999999999994</v>
      </c>
    </row>
    <row r="551" spans="1:21" x14ac:dyDescent="0.2">
      <c r="A551" s="18" t="s">
        <v>1647</v>
      </c>
      <c r="B551" s="19" t="s">
        <v>1648</v>
      </c>
      <c r="C551" s="19" t="s">
        <v>1649</v>
      </c>
      <c r="D551" s="20">
        <v>9.9988464239999999</v>
      </c>
      <c r="E551" s="20">
        <v>7.7550236580000007</v>
      </c>
      <c r="F551" s="1">
        <v>22.239924704212768</v>
      </c>
      <c r="G551" s="42" t="s">
        <v>187</v>
      </c>
      <c r="J551" s="44"/>
      <c r="K551" s="35">
        <v>0.87819999999999998</v>
      </c>
      <c r="L551" s="35">
        <v>4.0000000000000002E-4</v>
      </c>
      <c r="M551" s="35">
        <v>0</v>
      </c>
      <c r="N551" s="21"/>
      <c r="Q551" s="22" t="s">
        <v>187</v>
      </c>
      <c r="R551" s="2"/>
      <c r="S551" s="2"/>
      <c r="T551" s="2"/>
      <c r="U551" s="34">
        <f t="shared" si="8"/>
        <v>0.87819999999999998</v>
      </c>
    </row>
    <row r="552" spans="1:21" x14ac:dyDescent="0.2">
      <c r="A552" s="18" t="s">
        <v>1650</v>
      </c>
      <c r="B552" s="19" t="s">
        <v>1651</v>
      </c>
      <c r="C552" s="19" t="s">
        <v>1652</v>
      </c>
      <c r="D552" s="20">
        <v>7.0829407893333327</v>
      </c>
      <c r="E552" s="20">
        <v>9.5152999999999999</v>
      </c>
      <c r="F552" s="1">
        <v>0</v>
      </c>
      <c r="G552" s="42" t="s">
        <v>187</v>
      </c>
      <c r="J552" s="44"/>
      <c r="K552" s="35">
        <v>0.94120000000000004</v>
      </c>
      <c r="L552" s="35">
        <v>4.5999999999999999E-3</v>
      </c>
      <c r="M552" s="35">
        <v>0</v>
      </c>
      <c r="N552" s="21"/>
      <c r="Q552" s="22" t="s">
        <v>187</v>
      </c>
      <c r="R552" s="2"/>
      <c r="S552" s="2"/>
      <c r="T552" s="2"/>
      <c r="U552" s="34">
        <f t="shared" si="8"/>
        <v>0.94120000000000004</v>
      </c>
    </row>
    <row r="553" spans="1:21" x14ac:dyDescent="0.2">
      <c r="A553" s="18" t="s">
        <v>1654</v>
      </c>
      <c r="B553" s="19" t="s">
        <v>1655</v>
      </c>
      <c r="C553" s="19" t="s">
        <v>1656</v>
      </c>
      <c r="D553" s="20">
        <v>0.72772792450000001</v>
      </c>
      <c r="E553" s="20">
        <v>3.2498720575000002</v>
      </c>
      <c r="F553" s="1">
        <v>4.1368381405253007</v>
      </c>
      <c r="G553" s="42"/>
      <c r="J553" s="44" t="s">
        <v>187</v>
      </c>
      <c r="K553" s="35">
        <v>0</v>
      </c>
      <c r="L553" s="35">
        <v>0.47210000000000002</v>
      </c>
      <c r="M553" s="35">
        <v>0.23280000000000001</v>
      </c>
      <c r="N553" s="21"/>
      <c r="Q553" s="22"/>
      <c r="R553" s="2"/>
      <c r="S553" s="2"/>
      <c r="T553" s="2"/>
      <c r="U553" s="34">
        <f t="shared" si="8"/>
        <v>0.47210000000000002</v>
      </c>
    </row>
    <row r="554" spans="1:21" x14ac:dyDescent="0.2">
      <c r="A554" s="18" t="s">
        <v>1657</v>
      </c>
      <c r="B554" s="19" t="s">
        <v>1658</v>
      </c>
      <c r="C554" s="19" t="s">
        <v>1659</v>
      </c>
      <c r="D554" s="20">
        <v>0.97454498066666673</v>
      </c>
      <c r="E554" s="20">
        <v>2.5572049266666665</v>
      </c>
      <c r="F554" s="1">
        <v>3.173697363192765</v>
      </c>
      <c r="G554" s="42"/>
      <c r="J554" s="44" t="s">
        <v>187</v>
      </c>
      <c r="K554" s="35">
        <v>0</v>
      </c>
      <c r="L554" s="35">
        <v>0.12520000000000001</v>
      </c>
      <c r="M554" s="35">
        <v>0.22159999999999999</v>
      </c>
      <c r="N554" s="21"/>
      <c r="Q554" s="22"/>
      <c r="R554" s="2"/>
      <c r="S554" s="2"/>
      <c r="T554" s="2"/>
      <c r="U554" s="34">
        <f t="shared" si="8"/>
        <v>0.22159999999999999</v>
      </c>
    </row>
    <row r="555" spans="1:21" x14ac:dyDescent="0.2">
      <c r="A555" s="18" t="s">
        <v>1660</v>
      </c>
      <c r="B555" s="19" t="s">
        <v>1661</v>
      </c>
      <c r="C555" s="19" t="s">
        <v>1662</v>
      </c>
      <c r="D555" s="20">
        <v>7.7130724547499998</v>
      </c>
      <c r="E555" s="20">
        <v>10.965394712250001</v>
      </c>
      <c r="F555" s="1">
        <v>0.12817097992687013</v>
      </c>
      <c r="G555" s="42" t="s">
        <v>187</v>
      </c>
      <c r="J555" s="44"/>
      <c r="K555" s="35">
        <v>0.96519999999999995</v>
      </c>
      <c r="L555" s="35">
        <v>3.3999999999999998E-3</v>
      </c>
      <c r="M555" s="35">
        <v>0</v>
      </c>
      <c r="N555" s="21"/>
      <c r="Q555" s="22" t="s">
        <v>187</v>
      </c>
      <c r="R555" s="2"/>
      <c r="S555" s="2"/>
      <c r="T555" s="2"/>
      <c r="U555" s="34">
        <f t="shared" si="8"/>
        <v>0.96519999999999995</v>
      </c>
    </row>
    <row r="556" spans="1:21" x14ac:dyDescent="0.2">
      <c r="A556" s="18" t="s">
        <v>1663</v>
      </c>
      <c r="B556" s="19" t="s">
        <v>1664</v>
      </c>
      <c r="C556" s="19" t="s">
        <v>1665</v>
      </c>
      <c r="D556" s="20">
        <v>1.9813781214999999</v>
      </c>
      <c r="E556" s="20">
        <v>10.174837597</v>
      </c>
      <c r="F556" s="1">
        <v>0.2675434572587212</v>
      </c>
      <c r="G556" s="42"/>
      <c r="H556" s="43" t="s">
        <v>187</v>
      </c>
      <c r="J556" s="44"/>
      <c r="K556" s="35">
        <v>4.4400000000000002E-2</v>
      </c>
      <c r="L556" s="35">
        <v>0.88500000000000001</v>
      </c>
      <c r="M556" s="35">
        <v>0</v>
      </c>
      <c r="N556" s="21"/>
      <c r="O556" s="2" t="s">
        <v>187</v>
      </c>
      <c r="Q556" s="22"/>
      <c r="R556" s="2"/>
      <c r="S556" s="2"/>
      <c r="T556" s="2"/>
      <c r="U556" s="34">
        <f t="shared" si="8"/>
        <v>0.88500000000000001</v>
      </c>
    </row>
    <row r="557" spans="1:21" x14ac:dyDescent="0.2">
      <c r="A557" s="18" t="s">
        <v>1667</v>
      </c>
      <c r="B557" s="19" t="s">
        <v>1668</v>
      </c>
      <c r="C557" s="19" t="s">
        <v>1669</v>
      </c>
      <c r="D557" s="20">
        <v>0.68810874049999993</v>
      </c>
      <c r="E557" s="20">
        <v>1.7141367874999998</v>
      </c>
      <c r="F557" s="1">
        <v>0.37752179542047881</v>
      </c>
      <c r="G557" s="42"/>
      <c r="I557" s="43" t="s">
        <v>187</v>
      </c>
      <c r="J557" s="44"/>
      <c r="K557" s="35">
        <v>0</v>
      </c>
      <c r="L557" s="35">
        <v>1.0200000000000001E-2</v>
      </c>
      <c r="M557" s="35">
        <v>0.70909999999999995</v>
      </c>
      <c r="N557" s="21"/>
      <c r="O557" s="2" t="s">
        <v>187</v>
      </c>
      <c r="Q557" s="22"/>
      <c r="R557" s="2"/>
      <c r="S557" s="2"/>
      <c r="T557" s="2"/>
      <c r="U557" s="34">
        <f t="shared" si="8"/>
        <v>0.70909999999999995</v>
      </c>
    </row>
    <row r="558" spans="1:21" x14ac:dyDescent="0.2">
      <c r="A558" s="18" t="s">
        <v>1671</v>
      </c>
      <c r="B558" s="19" t="s">
        <v>1672</v>
      </c>
      <c r="C558" s="19" t="s">
        <v>1673</v>
      </c>
      <c r="D558" s="20">
        <v>0.25615457075000003</v>
      </c>
      <c r="E558" s="20">
        <v>0.62287392424999999</v>
      </c>
      <c r="F558" s="1">
        <v>0.31341432072652992</v>
      </c>
      <c r="G558" s="42"/>
      <c r="I558" s="43" t="s">
        <v>187</v>
      </c>
      <c r="J558" s="44"/>
      <c r="K558" s="35">
        <v>0</v>
      </c>
      <c r="L558" s="35">
        <v>0</v>
      </c>
      <c r="M558" s="35">
        <v>0.95079999999999998</v>
      </c>
      <c r="N558" s="21"/>
      <c r="O558" s="2" t="s">
        <v>187</v>
      </c>
      <c r="Q558" s="22"/>
      <c r="R558" s="2"/>
      <c r="S558" s="2"/>
      <c r="T558" s="2"/>
      <c r="U558" s="34">
        <f t="shared" si="8"/>
        <v>0.95079999999999998</v>
      </c>
    </row>
    <row r="559" spans="1:21" x14ac:dyDescent="0.2">
      <c r="A559" s="18" t="s">
        <v>1674</v>
      </c>
      <c r="B559" s="19" t="s">
        <v>1675</v>
      </c>
      <c r="C559" s="19" t="s">
        <v>1676</v>
      </c>
      <c r="D559" s="20">
        <v>0.26125305999999998</v>
      </c>
      <c r="E559" s="20">
        <v>0.156938473</v>
      </c>
      <c r="F559" s="1">
        <v>0.18706034908220312</v>
      </c>
      <c r="G559" s="42"/>
      <c r="I559" s="43" t="s">
        <v>187</v>
      </c>
      <c r="J559" s="44"/>
      <c r="K559" s="35">
        <v>0</v>
      </c>
      <c r="L559" s="35">
        <v>0</v>
      </c>
      <c r="M559" s="35">
        <v>0.96760000000000002</v>
      </c>
      <c r="N559" s="21" t="s">
        <v>187</v>
      </c>
      <c r="Q559" s="22"/>
      <c r="R559" s="2"/>
      <c r="S559" s="2"/>
      <c r="T559" s="2"/>
      <c r="U559" s="34">
        <f t="shared" si="8"/>
        <v>0.96760000000000002</v>
      </c>
    </row>
    <row r="560" spans="1:21" x14ac:dyDescent="0.2">
      <c r="A560" s="18" t="s">
        <v>1677</v>
      </c>
      <c r="B560" s="19" t="s">
        <v>1678</v>
      </c>
      <c r="C560" s="19" t="s">
        <v>1679</v>
      </c>
      <c r="D560" s="20">
        <v>0.118627133</v>
      </c>
      <c r="E560" s="20">
        <v>3.276860275E-2</v>
      </c>
      <c r="F560" s="1">
        <v>1.5878122572109783</v>
      </c>
      <c r="G560" s="42"/>
      <c r="I560" s="49" t="s">
        <v>187</v>
      </c>
      <c r="J560" s="44"/>
      <c r="K560" s="35">
        <v>0</v>
      </c>
      <c r="L560" s="35">
        <v>0</v>
      </c>
      <c r="M560" s="35">
        <v>0.56040000000000001</v>
      </c>
      <c r="N560" s="21"/>
      <c r="O560" s="2" t="s">
        <v>187</v>
      </c>
      <c r="Q560" s="22"/>
      <c r="R560" s="2"/>
      <c r="S560" s="2"/>
      <c r="T560" s="2"/>
      <c r="U560" s="34">
        <f t="shared" si="8"/>
        <v>0.56040000000000001</v>
      </c>
    </row>
    <row r="561" spans="1:21" x14ac:dyDescent="0.2">
      <c r="A561" s="18" t="s">
        <v>1680</v>
      </c>
      <c r="B561" s="19" t="s">
        <v>1681</v>
      </c>
      <c r="C561" s="19" t="s">
        <v>1682</v>
      </c>
      <c r="D561" s="20">
        <v>4.0559250274999998</v>
      </c>
      <c r="E561" s="20">
        <v>4.8573000000000004</v>
      </c>
      <c r="F561" s="1" t="s">
        <v>47</v>
      </c>
      <c r="G561" s="42"/>
      <c r="J561" s="44" t="s">
        <v>187</v>
      </c>
      <c r="K561" s="35">
        <v>0.1094</v>
      </c>
      <c r="L561" s="35">
        <v>2.75E-2</v>
      </c>
      <c r="M561" s="35">
        <v>0</v>
      </c>
      <c r="N561" s="21"/>
      <c r="P561" s="2" t="s">
        <v>187</v>
      </c>
      <c r="Q561" s="22"/>
      <c r="R561" s="2"/>
      <c r="S561" s="2"/>
      <c r="T561" s="2"/>
      <c r="U561" s="34">
        <f t="shared" si="8"/>
        <v>0.1094</v>
      </c>
    </row>
    <row r="562" spans="1:21" x14ac:dyDescent="0.2">
      <c r="A562" s="18" t="s">
        <v>1683</v>
      </c>
      <c r="B562" s="19" t="s">
        <v>1684</v>
      </c>
      <c r="C562" s="19" t="s">
        <v>1685</v>
      </c>
      <c r="D562" s="20">
        <v>0.61366364524999995</v>
      </c>
      <c r="E562" s="20">
        <v>0.558510548</v>
      </c>
      <c r="F562" s="1">
        <v>3.4276582060395189</v>
      </c>
      <c r="G562" s="42"/>
      <c r="I562" s="43" t="s">
        <v>187</v>
      </c>
      <c r="J562" s="44"/>
      <c r="K562" s="35">
        <v>0</v>
      </c>
      <c r="L562" s="35">
        <v>0</v>
      </c>
      <c r="M562" s="35">
        <v>0.90559999999999996</v>
      </c>
      <c r="N562" s="21" t="s">
        <v>187</v>
      </c>
      <c r="Q562" s="22"/>
      <c r="R562" s="2"/>
      <c r="S562" s="2"/>
      <c r="T562" s="2"/>
      <c r="U562" s="34">
        <f t="shared" si="8"/>
        <v>0.90559999999999996</v>
      </c>
    </row>
    <row r="563" spans="1:21" x14ac:dyDescent="0.2">
      <c r="A563" s="18" t="s">
        <v>1687</v>
      </c>
      <c r="B563" s="19" t="s">
        <v>1688</v>
      </c>
      <c r="C563" s="19" t="s">
        <v>1689</v>
      </c>
      <c r="D563" s="20">
        <v>0.22364710900000001</v>
      </c>
      <c r="E563" s="20">
        <v>0.32870815249999996</v>
      </c>
      <c r="F563" s="1">
        <v>0.46390966572388381</v>
      </c>
      <c r="G563" s="42"/>
      <c r="I563" s="43" t="s">
        <v>187</v>
      </c>
      <c r="J563" s="44"/>
      <c r="K563" s="35">
        <v>0</v>
      </c>
      <c r="L563" s="35">
        <v>0</v>
      </c>
      <c r="M563" s="35">
        <v>0.95830000000000004</v>
      </c>
      <c r="N563" s="21"/>
      <c r="O563" s="2" t="s">
        <v>187</v>
      </c>
      <c r="Q563" s="22"/>
      <c r="R563" s="2"/>
      <c r="S563" s="2"/>
      <c r="T563" s="2"/>
      <c r="U563" s="34">
        <f t="shared" si="8"/>
        <v>0.95830000000000004</v>
      </c>
    </row>
    <row r="564" spans="1:21" x14ac:dyDescent="0.2">
      <c r="A564" s="18" t="s">
        <v>1690</v>
      </c>
      <c r="B564" s="19" t="s">
        <v>1691</v>
      </c>
      <c r="C564" s="19" t="s">
        <v>1692</v>
      </c>
      <c r="D564" s="20">
        <v>0.2498597125</v>
      </c>
      <c r="E564" s="20">
        <v>0.51030739950000004</v>
      </c>
      <c r="F564" s="1">
        <v>1.3968306430557214</v>
      </c>
      <c r="G564" s="42"/>
      <c r="I564" s="43" t="s">
        <v>187</v>
      </c>
      <c r="J564" s="44"/>
      <c r="K564" s="35">
        <v>0</v>
      </c>
      <c r="L564" s="35">
        <v>0</v>
      </c>
      <c r="M564" s="35">
        <v>0.95609999999999995</v>
      </c>
      <c r="N564" s="21"/>
      <c r="O564" s="2" t="s">
        <v>187</v>
      </c>
      <c r="Q564" s="22"/>
      <c r="R564" s="2"/>
      <c r="S564" s="2"/>
      <c r="T564" s="2"/>
      <c r="U564" s="34">
        <f t="shared" si="8"/>
        <v>0.95609999999999995</v>
      </c>
    </row>
    <row r="565" spans="1:21" x14ac:dyDescent="0.2">
      <c r="A565" s="18" t="s">
        <v>1693</v>
      </c>
      <c r="B565" s="19" t="s">
        <v>1694</v>
      </c>
      <c r="C565" s="19" t="s">
        <v>1695</v>
      </c>
      <c r="D565" s="20">
        <v>0.32628664075000002</v>
      </c>
      <c r="E565" s="20">
        <v>1.13388139575</v>
      </c>
      <c r="F565" s="1">
        <v>0.36709301654145771</v>
      </c>
      <c r="G565" s="42"/>
      <c r="I565" s="43" t="s">
        <v>187</v>
      </c>
      <c r="J565" s="44"/>
      <c r="K565" s="35">
        <v>0</v>
      </c>
      <c r="L565" s="35">
        <v>8.9999999999999998E-4</v>
      </c>
      <c r="M565" s="35">
        <v>0.92710000000000004</v>
      </c>
      <c r="N565" s="21"/>
      <c r="O565" s="2" t="s">
        <v>187</v>
      </c>
      <c r="Q565" s="22"/>
      <c r="R565" s="2"/>
      <c r="S565" s="2"/>
      <c r="T565" s="2"/>
      <c r="U565" s="34">
        <f t="shared" si="8"/>
        <v>0.92710000000000004</v>
      </c>
    </row>
    <row r="566" spans="1:21" x14ac:dyDescent="0.2">
      <c r="A566" s="18" t="s">
        <v>1696</v>
      </c>
      <c r="B566" s="19" t="s">
        <v>1697</v>
      </c>
      <c r="C566" s="19" t="s">
        <v>1698</v>
      </c>
      <c r="D566" s="20">
        <v>2.0088540205000003</v>
      </c>
      <c r="E566" s="20">
        <v>18.368864451500002</v>
      </c>
      <c r="F566" s="1">
        <v>0.4645122762444438</v>
      </c>
      <c r="G566" s="42"/>
      <c r="H566" s="43" t="s">
        <v>187</v>
      </c>
      <c r="J566" s="44"/>
      <c r="K566" s="35">
        <v>4.1000000000000002E-2</v>
      </c>
      <c r="L566" s="35">
        <v>0.92300000000000004</v>
      </c>
      <c r="M566" s="35">
        <v>0</v>
      </c>
      <c r="N566" s="21"/>
      <c r="O566" s="2" t="s">
        <v>187</v>
      </c>
      <c r="Q566" s="22"/>
      <c r="R566" s="2"/>
      <c r="S566" s="2"/>
      <c r="T566" s="2"/>
      <c r="U566" s="34">
        <f t="shared" si="8"/>
        <v>0.92300000000000004</v>
      </c>
    </row>
    <row r="567" spans="1:21" x14ac:dyDescent="0.2">
      <c r="A567" s="18" t="s">
        <v>1700</v>
      </c>
      <c r="B567" s="19" t="s">
        <v>1701</v>
      </c>
      <c r="C567" s="19" t="s">
        <v>1702</v>
      </c>
      <c r="D567" s="20">
        <v>10.766835139000001</v>
      </c>
      <c r="E567" s="20">
        <v>18.270822922499999</v>
      </c>
      <c r="F567" s="1">
        <v>0.52901143307348997</v>
      </c>
      <c r="G567" s="42" t="s">
        <v>187</v>
      </c>
      <c r="J567" s="44"/>
      <c r="K567" s="35">
        <v>0.98480000000000001</v>
      </c>
      <c r="L567" s="35">
        <v>2E-3</v>
      </c>
      <c r="M567" s="35">
        <v>0</v>
      </c>
      <c r="N567" s="21"/>
      <c r="Q567" s="22" t="s">
        <v>187</v>
      </c>
      <c r="R567" s="2"/>
      <c r="S567" s="2"/>
      <c r="T567" s="2"/>
      <c r="U567" s="34">
        <f t="shared" si="8"/>
        <v>0.98480000000000001</v>
      </c>
    </row>
    <row r="568" spans="1:21" x14ac:dyDescent="0.2">
      <c r="A568" s="18" t="s">
        <v>1703</v>
      </c>
      <c r="B568" s="19" t="s">
        <v>1704</v>
      </c>
      <c r="C568" s="19" t="s">
        <v>1705</v>
      </c>
      <c r="D568" s="20">
        <v>0.65015695950000008</v>
      </c>
      <c r="E568" s="20">
        <v>9.0311453999999998</v>
      </c>
      <c r="F568" s="1">
        <v>0</v>
      </c>
      <c r="G568" s="42"/>
      <c r="H568" s="43" t="s">
        <v>187</v>
      </c>
      <c r="J568" s="44"/>
      <c r="K568" s="35">
        <v>0</v>
      </c>
      <c r="L568" s="35">
        <v>0.96760000000000002</v>
      </c>
      <c r="M568" s="35">
        <v>3.3999999999999998E-3</v>
      </c>
      <c r="N568" s="21"/>
      <c r="O568" s="2" t="s">
        <v>187</v>
      </c>
      <c r="Q568" s="22"/>
      <c r="R568" s="2"/>
      <c r="S568" s="2"/>
      <c r="T568" s="2"/>
      <c r="U568" s="34">
        <f t="shared" si="8"/>
        <v>0.96760000000000002</v>
      </c>
    </row>
    <row r="569" spans="1:21" x14ac:dyDescent="0.2">
      <c r="A569" s="18" t="s">
        <v>1706</v>
      </c>
      <c r="B569" s="19" t="s">
        <v>1707</v>
      </c>
      <c r="C569" s="19" t="s">
        <v>1708</v>
      </c>
      <c r="D569" s="20">
        <v>7.807946716750001</v>
      </c>
      <c r="E569" s="20">
        <v>4.210906019666667</v>
      </c>
      <c r="F569" s="1">
        <v>0.83577152193743054</v>
      </c>
      <c r="G569" s="42"/>
      <c r="J569" s="44" t="s">
        <v>187</v>
      </c>
      <c r="K569" s="35">
        <v>7.0599999999999996E-2</v>
      </c>
      <c r="L569" s="35">
        <v>2.0000000000000001E-4</v>
      </c>
      <c r="M569" s="35">
        <v>0</v>
      </c>
      <c r="N569" s="21"/>
      <c r="Q569" s="22"/>
      <c r="R569" s="2"/>
      <c r="S569" s="2"/>
      <c r="T569" s="2"/>
      <c r="U569" s="34">
        <f t="shared" si="8"/>
        <v>7.0599999999999996E-2</v>
      </c>
    </row>
    <row r="570" spans="1:21" x14ac:dyDescent="0.2">
      <c r="A570" s="18" t="s">
        <v>1709</v>
      </c>
      <c r="B570" s="19" t="s">
        <v>1710</v>
      </c>
      <c r="C570" s="19" t="s">
        <v>1711</v>
      </c>
      <c r="D570" s="20">
        <v>2.2247408714999999</v>
      </c>
      <c r="E570" s="20">
        <v>1.0422</v>
      </c>
      <c r="F570" s="1">
        <v>0.36064742763572466</v>
      </c>
      <c r="G570" s="42"/>
      <c r="J570" s="44" t="s">
        <v>187</v>
      </c>
      <c r="K570" s="35">
        <v>0</v>
      </c>
      <c r="L570" s="35">
        <v>0</v>
      </c>
      <c r="M570" s="35">
        <v>1.8E-3</v>
      </c>
      <c r="N570" s="21"/>
      <c r="Q570" s="22"/>
      <c r="R570" s="2"/>
      <c r="S570" s="2"/>
      <c r="T570" s="2"/>
      <c r="U570" s="34">
        <f t="shared" si="8"/>
        <v>1.8E-3</v>
      </c>
    </row>
    <row r="571" spans="1:21" x14ac:dyDescent="0.2">
      <c r="A571" s="18" t="s">
        <v>1712</v>
      </c>
      <c r="B571" s="19" t="s">
        <v>1713</v>
      </c>
      <c r="C571" s="19" t="s">
        <v>1711</v>
      </c>
      <c r="D571" s="20">
        <v>11.344304767999999</v>
      </c>
      <c r="E571" s="20">
        <v>13.784750597000002</v>
      </c>
      <c r="F571" s="1">
        <v>0.4548238773400502</v>
      </c>
      <c r="G571" s="42" t="s">
        <v>187</v>
      </c>
      <c r="J571" s="44"/>
      <c r="K571" s="35">
        <v>0.98229999999999995</v>
      </c>
      <c r="L571" s="35">
        <v>5.9999999999999995E-4</v>
      </c>
      <c r="M571" s="35">
        <v>0</v>
      </c>
      <c r="N571" s="21"/>
      <c r="Q571" s="22" t="s">
        <v>187</v>
      </c>
      <c r="R571" s="2"/>
      <c r="S571" s="2"/>
      <c r="T571" s="2"/>
      <c r="U571" s="34">
        <f t="shared" si="8"/>
        <v>0.98229999999999995</v>
      </c>
    </row>
    <row r="572" spans="1:21" x14ac:dyDescent="0.2">
      <c r="A572" s="18" t="s">
        <v>1714</v>
      </c>
      <c r="B572" s="19" t="s">
        <v>1715</v>
      </c>
      <c r="C572" s="19" t="s">
        <v>1716</v>
      </c>
      <c r="D572" s="20">
        <v>1.6457925309999999</v>
      </c>
      <c r="E572" s="20">
        <v>2.1002000000000001</v>
      </c>
      <c r="F572" s="1">
        <v>19.114313664685582</v>
      </c>
      <c r="G572" s="42"/>
      <c r="J572" s="44" t="s">
        <v>187</v>
      </c>
      <c r="K572" s="35">
        <v>0</v>
      </c>
      <c r="L572" s="35">
        <v>5.7000000000000002E-3</v>
      </c>
      <c r="M572" s="35">
        <v>1.47E-2</v>
      </c>
      <c r="N572" s="21"/>
      <c r="Q572" s="22"/>
      <c r="R572" s="2"/>
      <c r="S572" s="2"/>
      <c r="T572" s="2"/>
      <c r="U572" s="34">
        <f t="shared" si="8"/>
        <v>1.47E-2</v>
      </c>
    </row>
    <row r="573" spans="1:21" x14ac:dyDescent="0.2">
      <c r="A573" s="18" t="s">
        <v>1718</v>
      </c>
      <c r="B573" s="19" t="s">
        <v>1719</v>
      </c>
      <c r="C573" s="19" t="s">
        <v>1720</v>
      </c>
      <c r="D573" s="20">
        <v>1.6869561893333334</v>
      </c>
      <c r="E573" s="20">
        <v>1.1600999999999999</v>
      </c>
      <c r="F573" s="1">
        <v>0.24718688985865583</v>
      </c>
      <c r="G573" s="42"/>
      <c r="J573" s="44" t="s">
        <v>187</v>
      </c>
      <c r="K573" s="35">
        <v>0</v>
      </c>
      <c r="L573" s="35">
        <v>0</v>
      </c>
      <c r="M573" s="35">
        <v>2.0199999999999999E-2</v>
      </c>
      <c r="N573" s="21"/>
      <c r="Q573" s="22"/>
      <c r="R573" s="2"/>
      <c r="S573" s="2"/>
      <c r="T573" s="2"/>
      <c r="U573" s="34">
        <f t="shared" si="8"/>
        <v>2.0199999999999999E-2</v>
      </c>
    </row>
    <row r="574" spans="1:21" x14ac:dyDescent="0.2">
      <c r="A574" s="18" t="s">
        <v>1721</v>
      </c>
      <c r="B574" s="19" t="s">
        <v>1722</v>
      </c>
      <c r="C574" s="19" t="s">
        <v>1723</v>
      </c>
      <c r="D574" s="20">
        <v>0.43172717499999996</v>
      </c>
      <c r="E574" s="20">
        <v>1.8837015992499999</v>
      </c>
      <c r="F574" s="1">
        <v>0.26040282258381903</v>
      </c>
      <c r="G574" s="42"/>
      <c r="I574" s="43" t="s">
        <v>187</v>
      </c>
      <c r="J574" s="44"/>
      <c r="K574" s="35">
        <v>0</v>
      </c>
      <c r="L574" s="35">
        <v>3.04E-2</v>
      </c>
      <c r="M574" s="35">
        <v>0.83</v>
      </c>
      <c r="N574" s="21" t="s">
        <v>187</v>
      </c>
      <c r="Q574" s="22"/>
      <c r="R574" s="2"/>
      <c r="S574" s="2"/>
      <c r="T574" s="2"/>
      <c r="U574" s="34">
        <f t="shared" si="8"/>
        <v>0.83</v>
      </c>
    </row>
    <row r="575" spans="1:21" x14ac:dyDescent="0.2">
      <c r="A575" s="18" t="s">
        <v>1724</v>
      </c>
      <c r="B575" s="19" t="s">
        <v>1725</v>
      </c>
      <c r="C575" s="19" t="s">
        <v>1726</v>
      </c>
      <c r="D575" s="20">
        <v>1.672050461</v>
      </c>
      <c r="E575" s="20">
        <v>3.1333499999999996</v>
      </c>
      <c r="F575" s="1">
        <v>14.476912182716442</v>
      </c>
      <c r="G575" s="42"/>
      <c r="J575" s="44" t="s">
        <v>187</v>
      </c>
      <c r="K575" s="35">
        <v>1E-4</v>
      </c>
      <c r="L575" s="35">
        <v>9.4E-2</v>
      </c>
      <c r="M575" s="35">
        <v>7.1999999999999998E-3</v>
      </c>
      <c r="N575" s="21"/>
      <c r="Q575" s="22"/>
      <c r="R575" s="2"/>
      <c r="S575" s="2"/>
      <c r="T575" s="2"/>
      <c r="U575" s="34">
        <f t="shared" si="8"/>
        <v>9.4E-2</v>
      </c>
    </row>
    <row r="576" spans="1:21" x14ac:dyDescent="0.2">
      <c r="A576" s="18" t="s">
        <v>1727</v>
      </c>
      <c r="B576" s="19" t="s">
        <v>1728</v>
      </c>
      <c r="C576" s="19" t="s">
        <v>1729</v>
      </c>
      <c r="D576" s="20">
        <v>12.047392199999999</v>
      </c>
      <c r="E576" s="20">
        <v>0.76934913100000002</v>
      </c>
      <c r="F576" s="1">
        <v>2.404316184237091</v>
      </c>
      <c r="G576" s="42"/>
      <c r="J576" s="44" t="s">
        <v>187</v>
      </c>
      <c r="K576" s="35">
        <v>0</v>
      </c>
      <c r="L576" s="35">
        <v>0</v>
      </c>
      <c r="M576" s="35">
        <v>0</v>
      </c>
      <c r="N576" s="21"/>
      <c r="Q576" s="22"/>
      <c r="R576" s="2"/>
      <c r="S576" s="2"/>
      <c r="T576" s="2"/>
      <c r="U576" s="34">
        <f t="shared" si="8"/>
        <v>0</v>
      </c>
    </row>
    <row r="577" spans="1:21" x14ac:dyDescent="0.2">
      <c r="A577" s="18" t="s">
        <v>1730</v>
      </c>
      <c r="B577" s="19" t="s">
        <v>1731</v>
      </c>
      <c r="C577" s="19" t="s">
        <v>1732</v>
      </c>
      <c r="D577" s="20">
        <v>11.742137363333335</v>
      </c>
      <c r="E577" s="20">
        <v>8.7614999999999998</v>
      </c>
      <c r="F577" s="1">
        <v>11.721041398155464</v>
      </c>
      <c r="G577" s="42" t="s">
        <v>187</v>
      </c>
      <c r="J577" s="44"/>
      <c r="K577" s="35">
        <v>0.92620000000000002</v>
      </c>
      <c r="L577" s="35">
        <v>2.0000000000000001E-4</v>
      </c>
      <c r="M577" s="35">
        <v>0</v>
      </c>
      <c r="N577" s="21"/>
      <c r="Q577" s="22" t="s">
        <v>187</v>
      </c>
      <c r="R577" s="2"/>
      <c r="S577" s="2"/>
      <c r="T577" s="2"/>
      <c r="U577" s="34">
        <f t="shared" si="8"/>
        <v>0.92620000000000002</v>
      </c>
    </row>
    <row r="578" spans="1:21" x14ac:dyDescent="0.2">
      <c r="A578" s="18" t="s">
        <v>1733</v>
      </c>
      <c r="B578" s="19" t="s">
        <v>1734</v>
      </c>
      <c r="C578" s="19" t="s">
        <v>1735</v>
      </c>
      <c r="D578" s="20">
        <v>4.0201316279999997</v>
      </c>
      <c r="E578" s="20">
        <v>13.03153573</v>
      </c>
      <c r="F578" s="1">
        <v>5.2594416530195582</v>
      </c>
      <c r="G578" s="42" t="s">
        <v>187</v>
      </c>
      <c r="J578" s="44"/>
      <c r="K578" s="35">
        <v>0.7792</v>
      </c>
      <c r="L578" s="35">
        <v>0.1694</v>
      </c>
      <c r="M578" s="35">
        <v>0</v>
      </c>
      <c r="N578" s="21"/>
      <c r="Q578" s="22" t="s">
        <v>187</v>
      </c>
      <c r="R578" s="2"/>
      <c r="S578" s="2"/>
      <c r="T578" s="2"/>
      <c r="U578" s="34">
        <f t="shared" ref="U578:U641" si="9">MAX(K578:M578)</f>
        <v>0.7792</v>
      </c>
    </row>
    <row r="579" spans="1:21" x14ac:dyDescent="0.2">
      <c r="A579" s="18" t="s">
        <v>1736</v>
      </c>
      <c r="B579" s="19" t="s">
        <v>1737</v>
      </c>
      <c r="C579" s="19" t="s">
        <v>1738</v>
      </c>
      <c r="D579" s="20">
        <v>2.0650500000000003</v>
      </c>
      <c r="E579" s="20">
        <v>1.0365</v>
      </c>
      <c r="F579" s="1">
        <v>13.524278536334105</v>
      </c>
      <c r="G579" s="42"/>
      <c r="J579" s="44" t="s">
        <v>187</v>
      </c>
      <c r="K579" s="35">
        <v>0</v>
      </c>
      <c r="L579" s="35">
        <v>0</v>
      </c>
      <c r="M579" s="35">
        <v>3.7000000000000002E-3</v>
      </c>
      <c r="N579" s="21"/>
      <c r="Q579" s="22"/>
      <c r="R579" s="2"/>
      <c r="S579" s="2"/>
      <c r="T579" s="2"/>
      <c r="U579" s="34">
        <f t="shared" si="9"/>
        <v>3.7000000000000002E-3</v>
      </c>
    </row>
    <row r="580" spans="1:21" x14ac:dyDescent="0.2">
      <c r="A580" s="18" t="s">
        <v>1739</v>
      </c>
      <c r="B580" s="19" t="s">
        <v>1740</v>
      </c>
      <c r="C580" s="19" t="s">
        <v>1741</v>
      </c>
      <c r="D580" s="20">
        <v>0.178953415</v>
      </c>
      <c r="E580" s="20">
        <v>0.16765966474999999</v>
      </c>
      <c r="F580" s="1">
        <v>0.10566767810753998</v>
      </c>
      <c r="G580" s="42"/>
      <c r="I580" s="43" t="s">
        <v>187</v>
      </c>
      <c r="J580" s="44"/>
      <c r="K580" s="35">
        <v>0</v>
      </c>
      <c r="L580" s="35">
        <v>0</v>
      </c>
      <c r="M580" s="35">
        <v>0.93859999999999999</v>
      </c>
      <c r="N580" s="21"/>
      <c r="O580" s="2" t="s">
        <v>187</v>
      </c>
      <c r="Q580" s="22"/>
      <c r="R580" s="2"/>
      <c r="S580" s="2"/>
      <c r="T580" s="2"/>
      <c r="U580" s="34">
        <f t="shared" si="9"/>
        <v>0.93859999999999999</v>
      </c>
    </row>
    <row r="581" spans="1:21" x14ac:dyDescent="0.2">
      <c r="A581" s="18" t="s">
        <v>1742</v>
      </c>
      <c r="B581" s="19" t="s">
        <v>1743</v>
      </c>
      <c r="C581" s="19" t="s">
        <v>1744</v>
      </c>
      <c r="D581" s="20">
        <v>1.4121000850000001</v>
      </c>
      <c r="E581" s="20">
        <v>6.4940350537500002</v>
      </c>
      <c r="F581" s="1">
        <v>7.2855083326783837E-2</v>
      </c>
      <c r="G581" s="42"/>
      <c r="H581" s="43" t="s">
        <v>187</v>
      </c>
      <c r="J581" s="44"/>
      <c r="K581" s="35">
        <v>2.0999999999999999E-3</v>
      </c>
      <c r="L581" s="35">
        <v>0.87450000000000006</v>
      </c>
      <c r="M581" s="35">
        <v>8.9999999999999998E-4</v>
      </c>
      <c r="N581" s="21"/>
      <c r="O581" s="2" t="s">
        <v>187</v>
      </c>
      <c r="Q581" s="22"/>
      <c r="R581" s="2"/>
      <c r="S581" s="2"/>
      <c r="T581" s="2"/>
      <c r="U581" s="34">
        <f t="shared" si="9"/>
        <v>0.87450000000000006</v>
      </c>
    </row>
    <row r="582" spans="1:21" x14ac:dyDescent="0.2">
      <c r="A582" s="18" t="s">
        <v>1746</v>
      </c>
      <c r="B582" s="19" t="s">
        <v>1747</v>
      </c>
      <c r="C582" s="19" t="s">
        <v>1748</v>
      </c>
      <c r="D582" s="20">
        <v>2.0166860742499999</v>
      </c>
      <c r="E582" s="20">
        <v>9.8835896912500001</v>
      </c>
      <c r="F582" s="1">
        <v>0.33101548728891994</v>
      </c>
      <c r="G582" s="42"/>
      <c r="H582" s="43" t="s">
        <v>187</v>
      </c>
      <c r="J582" s="44"/>
      <c r="K582" s="35">
        <v>4.8800000000000003E-2</v>
      </c>
      <c r="L582" s="35">
        <v>0.87329999999999997</v>
      </c>
      <c r="M582" s="35">
        <v>0</v>
      </c>
      <c r="N582" s="21"/>
      <c r="O582" s="2" t="s">
        <v>187</v>
      </c>
      <c r="Q582" s="22"/>
      <c r="R582" s="2"/>
      <c r="S582" s="2"/>
      <c r="T582" s="2"/>
      <c r="U582" s="34">
        <f t="shared" si="9"/>
        <v>0.87329999999999997</v>
      </c>
    </row>
    <row r="583" spans="1:21" x14ac:dyDescent="0.2">
      <c r="A583" s="18" t="s">
        <v>1749</v>
      </c>
      <c r="B583" s="19" t="s">
        <v>1750</v>
      </c>
      <c r="C583" s="19" t="s">
        <v>1751</v>
      </c>
      <c r="D583" s="20">
        <v>0.18853046574999999</v>
      </c>
      <c r="E583" s="20">
        <v>0.15399561449999999</v>
      </c>
      <c r="F583" s="1">
        <v>0.27123750616929176</v>
      </c>
      <c r="G583" s="42"/>
      <c r="I583" s="43" t="s">
        <v>187</v>
      </c>
      <c r="J583" s="44"/>
      <c r="K583" s="35">
        <v>0</v>
      </c>
      <c r="L583" s="35">
        <v>0</v>
      </c>
      <c r="M583" s="35">
        <v>0.94569999999999999</v>
      </c>
      <c r="N583" s="21"/>
      <c r="O583" s="2" t="s">
        <v>187</v>
      </c>
      <c r="Q583" s="22"/>
      <c r="R583" s="2"/>
      <c r="S583" s="2"/>
      <c r="T583" s="2"/>
      <c r="U583" s="34">
        <f t="shared" si="9"/>
        <v>0.94569999999999999</v>
      </c>
    </row>
    <row r="584" spans="1:21" x14ac:dyDescent="0.2">
      <c r="A584" s="18" t="s">
        <v>1753</v>
      </c>
      <c r="B584" s="19" t="s">
        <v>1754</v>
      </c>
      <c r="C584" s="19" t="s">
        <v>1755</v>
      </c>
      <c r="D584" s="20">
        <v>0.196795941</v>
      </c>
      <c r="E584" s="20">
        <v>0.17826508549999998</v>
      </c>
      <c r="F584" s="1">
        <v>0.21296101280135468</v>
      </c>
      <c r="G584" s="42"/>
      <c r="I584" s="43" t="s">
        <v>187</v>
      </c>
      <c r="J584" s="44"/>
      <c r="K584" s="35">
        <v>0</v>
      </c>
      <c r="L584" s="35">
        <v>0</v>
      </c>
      <c r="M584" s="35">
        <v>0.95140000000000002</v>
      </c>
      <c r="N584" s="21"/>
      <c r="O584" s="2" t="s">
        <v>187</v>
      </c>
      <c r="Q584" s="22"/>
      <c r="R584" s="2"/>
      <c r="S584" s="2"/>
      <c r="T584" s="2"/>
      <c r="U584" s="34">
        <f t="shared" si="9"/>
        <v>0.95140000000000002</v>
      </c>
    </row>
    <row r="585" spans="1:21" x14ac:dyDescent="0.2">
      <c r="A585" s="18" t="s">
        <v>1756</v>
      </c>
      <c r="B585" s="19" t="s">
        <v>1757</v>
      </c>
      <c r="C585" s="19" t="s">
        <v>1758</v>
      </c>
      <c r="D585" s="20">
        <v>0.55352323024999994</v>
      </c>
      <c r="E585" s="20">
        <v>4.5816613889999998</v>
      </c>
      <c r="F585" s="1">
        <v>15.27116451394798</v>
      </c>
      <c r="G585" s="42"/>
      <c r="H585" s="43" t="s">
        <v>187</v>
      </c>
      <c r="J585" s="44"/>
      <c r="K585" s="35">
        <v>0</v>
      </c>
      <c r="L585" s="35">
        <v>0.83720000000000006</v>
      </c>
      <c r="M585" s="35">
        <v>7.3700000000000002E-2</v>
      </c>
      <c r="N585" s="21"/>
      <c r="O585" s="2" t="s">
        <v>187</v>
      </c>
      <c r="Q585" s="22"/>
      <c r="R585" s="2"/>
      <c r="S585" s="2"/>
      <c r="T585" s="2"/>
      <c r="U585" s="34">
        <f t="shared" si="9"/>
        <v>0.83720000000000006</v>
      </c>
    </row>
    <row r="586" spans="1:21" x14ac:dyDescent="0.2">
      <c r="A586" s="18" t="s">
        <v>1759</v>
      </c>
      <c r="B586" s="19" t="s">
        <v>1760</v>
      </c>
      <c r="C586" s="19" t="s">
        <v>1761</v>
      </c>
      <c r="D586" s="23" t="s">
        <v>46</v>
      </c>
      <c r="E586" s="20">
        <v>1.676474E-2</v>
      </c>
      <c r="F586" s="1" t="s">
        <v>47</v>
      </c>
      <c r="G586" s="42"/>
      <c r="I586" s="49" t="s">
        <v>187</v>
      </c>
      <c r="J586" s="44"/>
      <c r="K586" s="35" t="e">
        <v>#N/A</v>
      </c>
      <c r="L586" s="35" t="e">
        <v>#N/A</v>
      </c>
      <c r="M586" s="35" t="e">
        <v>#N/A</v>
      </c>
      <c r="N586" s="21"/>
      <c r="O586" s="2" t="s">
        <v>187</v>
      </c>
      <c r="Q586" s="22"/>
      <c r="R586" s="2"/>
      <c r="S586" s="2"/>
      <c r="T586" s="2"/>
      <c r="U586" s="34" t="e">
        <f t="shared" si="9"/>
        <v>#N/A</v>
      </c>
    </row>
    <row r="587" spans="1:21" x14ac:dyDescent="0.2">
      <c r="A587" s="18" t="s">
        <v>1762</v>
      </c>
      <c r="B587" s="19" t="s">
        <v>1763</v>
      </c>
      <c r="C587" s="19" t="s">
        <v>1764</v>
      </c>
      <c r="D587" s="20">
        <v>0.40045757175000002</v>
      </c>
      <c r="E587" s="20">
        <v>5.9784660487500005</v>
      </c>
      <c r="F587" s="1">
        <v>0.1640588543063807</v>
      </c>
      <c r="G587" s="42"/>
      <c r="H587" s="43" t="s">
        <v>187</v>
      </c>
      <c r="J587" s="44"/>
      <c r="K587" s="35">
        <v>0</v>
      </c>
      <c r="L587" s="35">
        <v>0.91900000000000004</v>
      </c>
      <c r="M587" s="35">
        <v>3.0599999999999999E-2</v>
      </c>
      <c r="N587" s="21" t="s">
        <v>187</v>
      </c>
      <c r="Q587" s="22"/>
      <c r="R587" s="2"/>
      <c r="S587" s="2"/>
      <c r="T587" s="2"/>
      <c r="U587" s="34">
        <f t="shared" si="9"/>
        <v>0.91900000000000004</v>
      </c>
    </row>
    <row r="588" spans="1:21" x14ac:dyDescent="0.2">
      <c r="A588" s="18" t="s">
        <v>1765</v>
      </c>
      <c r="B588" s="19" t="s">
        <v>1766</v>
      </c>
      <c r="C588" s="19" t="s">
        <v>1767</v>
      </c>
      <c r="D588" s="20">
        <v>1.1213695934999999</v>
      </c>
      <c r="E588" s="20">
        <v>2.6938016364999999</v>
      </c>
      <c r="F588" s="1">
        <v>1.6087190021072642</v>
      </c>
      <c r="G588" s="42"/>
      <c r="J588" s="44" t="s">
        <v>187</v>
      </c>
      <c r="K588" s="35">
        <v>0</v>
      </c>
      <c r="L588" s="35">
        <v>0.1288</v>
      </c>
      <c r="M588" s="35">
        <v>0.11210000000000001</v>
      </c>
      <c r="N588" s="21" t="s">
        <v>187</v>
      </c>
      <c r="Q588" s="22"/>
      <c r="R588" s="2"/>
      <c r="S588" s="2"/>
      <c r="T588" s="2"/>
      <c r="U588" s="34">
        <f t="shared" si="9"/>
        <v>0.1288</v>
      </c>
    </row>
    <row r="589" spans="1:21" x14ac:dyDescent="0.2">
      <c r="A589" s="18" t="s">
        <v>1459</v>
      </c>
      <c r="B589" s="19" t="s">
        <v>1768</v>
      </c>
      <c r="C589" s="19" t="s">
        <v>1769</v>
      </c>
      <c r="D589" s="20">
        <v>0.17923811775000001</v>
      </c>
      <c r="E589" s="20">
        <v>2.8322885553333332</v>
      </c>
      <c r="F589" s="1">
        <v>0.15730074809189487</v>
      </c>
      <c r="G589" s="42"/>
      <c r="I589" s="43" t="s">
        <v>187</v>
      </c>
      <c r="J589" s="44"/>
      <c r="K589" s="35">
        <v>0</v>
      </c>
      <c r="L589" s="35">
        <v>0.54300000000000004</v>
      </c>
      <c r="M589" s="35">
        <v>0.1958</v>
      </c>
      <c r="N589" s="21"/>
      <c r="O589" s="2" t="s">
        <v>187</v>
      </c>
      <c r="Q589" s="22"/>
      <c r="R589" s="2"/>
      <c r="S589" s="2"/>
      <c r="T589" s="2"/>
      <c r="U589" s="34">
        <f t="shared" si="9"/>
        <v>0.54300000000000004</v>
      </c>
    </row>
    <row r="590" spans="1:21" x14ac:dyDescent="0.2">
      <c r="A590" s="18" t="s">
        <v>1489</v>
      </c>
      <c r="B590" s="19" t="s">
        <v>1770</v>
      </c>
      <c r="C590" s="19" t="s">
        <v>1771</v>
      </c>
      <c r="D590" s="20">
        <v>0.24621280950000002</v>
      </c>
      <c r="E590" s="20">
        <v>0.35537952233333331</v>
      </c>
      <c r="F590" s="1">
        <v>0.29744141457371237</v>
      </c>
      <c r="G590" s="42"/>
      <c r="I590" s="43" t="s">
        <v>187</v>
      </c>
      <c r="J590" s="44"/>
      <c r="K590" s="35">
        <v>0</v>
      </c>
      <c r="L590" s="35">
        <v>0</v>
      </c>
      <c r="M590" s="35">
        <v>0.96309999999999996</v>
      </c>
      <c r="N590" s="21"/>
      <c r="O590" s="2" t="s">
        <v>187</v>
      </c>
      <c r="Q590" s="22"/>
      <c r="R590" s="2"/>
      <c r="S590" s="2"/>
      <c r="T590" s="2"/>
      <c r="U590" s="34">
        <f t="shared" si="9"/>
        <v>0.96309999999999996</v>
      </c>
    </row>
    <row r="591" spans="1:21" x14ac:dyDescent="0.2">
      <c r="A591" s="18" t="s">
        <v>1538</v>
      </c>
      <c r="B591" s="19" t="s">
        <v>1772</v>
      </c>
      <c r="C591" s="19" t="s">
        <v>1773</v>
      </c>
      <c r="D591" s="20">
        <v>0.16530578266666665</v>
      </c>
      <c r="E591" s="20">
        <v>0.22677122500000002</v>
      </c>
      <c r="F591" s="1">
        <v>0</v>
      </c>
      <c r="G591" s="42"/>
      <c r="I591" s="43" t="s">
        <v>187</v>
      </c>
      <c r="J591" s="44"/>
      <c r="K591" s="35">
        <v>0</v>
      </c>
      <c r="L591" s="35">
        <v>0</v>
      </c>
      <c r="M591" s="35">
        <v>0.92130000000000001</v>
      </c>
      <c r="N591" s="21"/>
      <c r="O591" s="2" t="s">
        <v>187</v>
      </c>
      <c r="Q591" s="22"/>
      <c r="R591" s="2"/>
      <c r="S591" s="2"/>
      <c r="T591" s="2"/>
      <c r="U591" s="34">
        <f t="shared" si="9"/>
        <v>0.92130000000000001</v>
      </c>
    </row>
    <row r="592" spans="1:21" x14ac:dyDescent="0.2">
      <c r="A592" s="18" t="s">
        <v>1774</v>
      </c>
      <c r="B592" s="19" t="s">
        <v>1775</v>
      </c>
      <c r="C592" s="19" t="s">
        <v>1776</v>
      </c>
      <c r="D592" s="20">
        <v>0.53297394749999993</v>
      </c>
      <c r="E592" s="20">
        <v>6.4859999999999998</v>
      </c>
      <c r="F592" s="1">
        <v>10.433014870885193</v>
      </c>
      <c r="G592" s="42"/>
      <c r="H592" s="43" t="s">
        <v>187</v>
      </c>
      <c r="J592" s="44"/>
      <c r="K592" s="35">
        <v>0</v>
      </c>
      <c r="L592" s="35">
        <v>0.94020000000000004</v>
      </c>
      <c r="M592" s="35">
        <v>1.7000000000000001E-2</v>
      </c>
      <c r="N592" s="21"/>
      <c r="O592" s="2" t="s">
        <v>187</v>
      </c>
      <c r="Q592" s="22"/>
      <c r="R592" s="2"/>
      <c r="S592" s="2"/>
      <c r="T592" s="2"/>
      <c r="U592" s="34">
        <f t="shared" si="9"/>
        <v>0.94020000000000004</v>
      </c>
    </row>
    <row r="593" spans="1:21" x14ac:dyDescent="0.2">
      <c r="A593" s="18" t="s">
        <v>1777</v>
      </c>
      <c r="B593" s="19" t="s">
        <v>1778</v>
      </c>
      <c r="C593" s="19" t="s">
        <v>1779</v>
      </c>
      <c r="D593" s="20">
        <v>13.715399463750002</v>
      </c>
      <c r="E593" s="20">
        <v>9.4385631942499995</v>
      </c>
      <c r="F593" s="1">
        <v>1.4288996987958051</v>
      </c>
      <c r="G593" s="42" t="s">
        <v>187</v>
      </c>
      <c r="J593" s="44"/>
      <c r="K593" s="35">
        <v>0.93910000000000005</v>
      </c>
      <c r="L593" s="35">
        <v>1E-4</v>
      </c>
      <c r="M593" s="35">
        <v>0</v>
      </c>
      <c r="N593" s="21"/>
      <c r="Q593" s="22" t="s">
        <v>187</v>
      </c>
      <c r="R593" s="2"/>
      <c r="S593" s="2"/>
      <c r="T593" s="2"/>
      <c r="U593" s="34">
        <f t="shared" si="9"/>
        <v>0.93910000000000005</v>
      </c>
    </row>
    <row r="594" spans="1:21" x14ac:dyDescent="0.2">
      <c r="A594" s="18" t="s">
        <v>1780</v>
      </c>
      <c r="B594" s="19" t="s">
        <v>1781</v>
      </c>
      <c r="C594" s="19" t="s">
        <v>1782</v>
      </c>
      <c r="D594" s="20">
        <v>10.772</v>
      </c>
      <c r="E594" s="20">
        <v>0.39027436300000001</v>
      </c>
      <c r="F594" s="1">
        <v>0</v>
      </c>
      <c r="G594" s="42"/>
      <c r="J594" s="44" t="s">
        <v>187</v>
      </c>
      <c r="K594" s="35">
        <v>0</v>
      </c>
      <c r="L594" s="35">
        <v>0</v>
      </c>
      <c r="M594" s="35">
        <v>0</v>
      </c>
      <c r="N594" s="21"/>
      <c r="Q594" s="22"/>
      <c r="R594" s="2"/>
      <c r="S594" s="2"/>
      <c r="T594" s="2"/>
      <c r="U594" s="34">
        <f t="shared" si="9"/>
        <v>0</v>
      </c>
    </row>
    <row r="595" spans="1:21" x14ac:dyDescent="0.2">
      <c r="A595" s="18" t="s">
        <v>1784</v>
      </c>
      <c r="B595" s="19" t="s">
        <v>1785</v>
      </c>
      <c r="C595" s="19" t="s">
        <v>1786</v>
      </c>
      <c r="D595" s="20">
        <v>0.29109119849999998</v>
      </c>
      <c r="E595" s="20">
        <v>0.11328000000000001</v>
      </c>
      <c r="F595" s="1">
        <v>0.26965842530037132</v>
      </c>
      <c r="G595" s="42"/>
      <c r="I595" s="43" t="s">
        <v>187</v>
      </c>
      <c r="J595" s="44"/>
      <c r="K595" s="35">
        <v>0</v>
      </c>
      <c r="L595" s="35">
        <v>0</v>
      </c>
      <c r="M595" s="35">
        <v>0.96499999999999997</v>
      </c>
      <c r="N595" s="21"/>
      <c r="O595" s="2" t="s">
        <v>187</v>
      </c>
      <c r="Q595" s="22"/>
      <c r="R595" s="2"/>
      <c r="S595" s="2"/>
      <c r="T595" s="2"/>
      <c r="U595" s="34">
        <f t="shared" si="9"/>
        <v>0.96499999999999997</v>
      </c>
    </row>
    <row r="596" spans="1:21" x14ac:dyDescent="0.2">
      <c r="A596" s="18" t="s">
        <v>1787</v>
      </c>
      <c r="B596" s="19" t="s">
        <v>1788</v>
      </c>
      <c r="C596" s="19" t="s">
        <v>1789</v>
      </c>
      <c r="D596" s="20">
        <v>0.86987113124999993</v>
      </c>
      <c r="E596" s="20">
        <v>6.6480223545000001</v>
      </c>
      <c r="F596" s="1">
        <v>0.37752179542087211</v>
      </c>
      <c r="G596" s="42"/>
      <c r="H596" s="43" t="s">
        <v>187</v>
      </c>
      <c r="J596" s="44"/>
      <c r="K596" s="35">
        <v>1E-4</v>
      </c>
      <c r="L596" s="35">
        <v>0.94069999999999998</v>
      </c>
      <c r="M596" s="35">
        <v>5.1999999999999998E-3</v>
      </c>
      <c r="N596" s="21"/>
      <c r="O596" s="2" t="s">
        <v>187</v>
      </c>
      <c r="Q596" s="22"/>
      <c r="R596" s="2"/>
      <c r="S596" s="2"/>
      <c r="T596" s="2"/>
      <c r="U596" s="34">
        <f t="shared" si="9"/>
        <v>0.94069999999999998</v>
      </c>
    </row>
    <row r="597" spans="1:21" x14ac:dyDescent="0.2">
      <c r="A597" s="18" t="s">
        <v>1791</v>
      </c>
      <c r="B597" s="19" t="s">
        <v>1792</v>
      </c>
      <c r="C597" s="19" t="s">
        <v>1793</v>
      </c>
      <c r="D597" s="20">
        <v>0.21183718299999998</v>
      </c>
      <c r="E597" s="20">
        <v>0.93391509425000008</v>
      </c>
      <c r="F597" s="1">
        <v>0.33324454780965457</v>
      </c>
      <c r="G597" s="42"/>
      <c r="I597" s="43" t="s">
        <v>187</v>
      </c>
      <c r="J597" s="44"/>
      <c r="K597" s="35">
        <v>0</v>
      </c>
      <c r="L597" s="35">
        <v>5.9999999999999995E-4</v>
      </c>
      <c r="M597" s="35">
        <v>0.89570000000000005</v>
      </c>
      <c r="N597" s="21"/>
      <c r="O597" s="2" t="s">
        <v>187</v>
      </c>
      <c r="Q597" s="22"/>
      <c r="R597" s="2"/>
      <c r="S597" s="2"/>
      <c r="T597" s="2"/>
      <c r="U597" s="34">
        <f t="shared" si="9"/>
        <v>0.89570000000000005</v>
      </c>
    </row>
    <row r="598" spans="1:21" x14ac:dyDescent="0.2">
      <c r="A598" s="18" t="s">
        <v>1794</v>
      </c>
      <c r="B598" s="19" t="s">
        <v>1795</v>
      </c>
      <c r="C598" s="19" t="s">
        <v>1796</v>
      </c>
      <c r="D598" s="20">
        <v>0.61709372625000003</v>
      </c>
      <c r="E598" s="20">
        <v>9.6076006140000008</v>
      </c>
      <c r="F598" s="1">
        <v>0</v>
      </c>
      <c r="G598" s="42"/>
      <c r="H598" s="43" t="s">
        <v>187</v>
      </c>
      <c r="J598" s="44"/>
      <c r="K598" s="35">
        <v>0</v>
      </c>
      <c r="L598" s="35">
        <v>0.96850000000000003</v>
      </c>
      <c r="M598" s="35">
        <v>3.2000000000000002E-3</v>
      </c>
      <c r="N598" s="21"/>
      <c r="O598" s="2" t="s">
        <v>187</v>
      </c>
      <c r="Q598" s="22"/>
      <c r="R598" s="2"/>
      <c r="S598" s="2"/>
      <c r="T598" s="2"/>
      <c r="U598" s="34">
        <f t="shared" si="9"/>
        <v>0.96850000000000003</v>
      </c>
    </row>
    <row r="599" spans="1:21" x14ac:dyDescent="0.2">
      <c r="A599" s="18" t="s">
        <v>1797</v>
      </c>
      <c r="B599" s="19" t="s">
        <v>1798</v>
      </c>
      <c r="C599" s="19" t="s">
        <v>1799</v>
      </c>
      <c r="D599" s="20">
        <v>1.4234</v>
      </c>
      <c r="E599" s="20">
        <v>3.0242</v>
      </c>
      <c r="F599" s="1">
        <v>120.81688825790252</v>
      </c>
      <c r="G599" s="42"/>
      <c r="J599" s="44" t="s">
        <v>187</v>
      </c>
      <c r="K599" s="35">
        <v>0</v>
      </c>
      <c r="L599" s="35">
        <v>0.1305</v>
      </c>
      <c r="M599" s="35">
        <v>2.3300000000000001E-2</v>
      </c>
      <c r="N599" s="21"/>
      <c r="Q599" s="22"/>
      <c r="R599" s="2"/>
      <c r="S599" s="2"/>
      <c r="T599" s="2"/>
      <c r="U599" s="34">
        <f t="shared" si="9"/>
        <v>0.1305</v>
      </c>
    </row>
    <row r="600" spans="1:21" x14ac:dyDescent="0.2">
      <c r="A600" s="18" t="s">
        <v>1800</v>
      </c>
      <c r="B600" s="19" t="s">
        <v>1801</v>
      </c>
      <c r="C600" s="19" t="s">
        <v>1802</v>
      </c>
      <c r="D600" s="20">
        <v>6.7085119165</v>
      </c>
      <c r="E600" s="20">
        <v>13.755996666666666</v>
      </c>
      <c r="F600" s="1">
        <v>0.60107904605946327</v>
      </c>
      <c r="G600" s="42" t="s">
        <v>187</v>
      </c>
      <c r="J600" s="44"/>
      <c r="K600" s="35">
        <v>0.96750000000000003</v>
      </c>
      <c r="L600" s="35">
        <v>1.1299999999999999E-2</v>
      </c>
      <c r="M600" s="35">
        <v>0</v>
      </c>
      <c r="N600" s="21"/>
      <c r="Q600" s="22" t="s">
        <v>187</v>
      </c>
      <c r="R600" s="2"/>
      <c r="S600" s="2"/>
      <c r="T600" s="2"/>
      <c r="U600" s="34">
        <f t="shared" si="9"/>
        <v>0.96750000000000003</v>
      </c>
    </row>
    <row r="601" spans="1:21" x14ac:dyDescent="0.2">
      <c r="A601" s="18" t="s">
        <v>1804</v>
      </c>
      <c r="B601" s="19" t="s">
        <v>1805</v>
      </c>
      <c r="C601" s="19" t="s">
        <v>1806</v>
      </c>
      <c r="D601" s="20">
        <v>1.1433804373333334</v>
      </c>
      <c r="E601" s="20">
        <v>1.86765</v>
      </c>
      <c r="F601" s="1">
        <v>6.6118695066553519</v>
      </c>
      <c r="G601" s="42"/>
      <c r="J601" s="44" t="s">
        <v>187</v>
      </c>
      <c r="K601" s="35">
        <v>0</v>
      </c>
      <c r="L601" s="35">
        <v>9.1999999999999998E-3</v>
      </c>
      <c r="M601" s="35">
        <v>0.1736</v>
      </c>
      <c r="N601" s="21"/>
      <c r="Q601" s="22"/>
      <c r="R601" s="2"/>
      <c r="S601" s="2"/>
      <c r="T601" s="2"/>
      <c r="U601" s="34">
        <f t="shared" si="9"/>
        <v>0.1736</v>
      </c>
    </row>
    <row r="602" spans="1:21" x14ac:dyDescent="0.2">
      <c r="A602" s="18" t="s">
        <v>1808</v>
      </c>
      <c r="B602" s="19" t="s">
        <v>1809</v>
      </c>
      <c r="C602" s="19" t="s">
        <v>1810</v>
      </c>
      <c r="D602" s="20">
        <v>5.2397359866666671</v>
      </c>
      <c r="E602" s="20">
        <v>7.8908265107499993</v>
      </c>
      <c r="F602" s="1">
        <v>14.275627343943754</v>
      </c>
      <c r="G602" s="42" t="s">
        <v>187</v>
      </c>
      <c r="J602" s="44"/>
      <c r="K602" s="35">
        <v>0.81540000000000001</v>
      </c>
      <c r="L602" s="35">
        <v>2.4299999999999999E-2</v>
      </c>
      <c r="M602" s="35">
        <v>0</v>
      </c>
      <c r="N602" s="21"/>
      <c r="Q602" s="22" t="s">
        <v>187</v>
      </c>
      <c r="R602" s="2"/>
      <c r="S602" s="2"/>
      <c r="T602" s="2"/>
      <c r="U602" s="34">
        <f t="shared" si="9"/>
        <v>0.81540000000000001</v>
      </c>
    </row>
    <row r="603" spans="1:21" x14ac:dyDescent="0.2">
      <c r="A603" s="18" t="s">
        <v>1811</v>
      </c>
      <c r="B603" s="19" t="s">
        <v>1812</v>
      </c>
      <c r="C603" s="19" t="s">
        <v>1813</v>
      </c>
      <c r="D603" s="20">
        <v>4.824991603</v>
      </c>
      <c r="E603" s="20">
        <v>5.5089013969999998</v>
      </c>
      <c r="F603" s="1">
        <v>0.85184405120508111</v>
      </c>
      <c r="G603" s="42"/>
      <c r="J603" s="44" t="s">
        <v>187</v>
      </c>
      <c r="K603" s="35">
        <v>0.31409999999999999</v>
      </c>
      <c r="L603" s="35">
        <v>1.9199999999999998E-2</v>
      </c>
      <c r="M603" s="35">
        <v>0</v>
      </c>
      <c r="N603" s="21"/>
      <c r="Q603" s="22"/>
      <c r="R603" s="2"/>
      <c r="S603" s="2"/>
      <c r="T603" s="2"/>
      <c r="U603" s="34">
        <f t="shared" si="9"/>
        <v>0.31409999999999999</v>
      </c>
    </row>
    <row r="604" spans="1:21" x14ac:dyDescent="0.2">
      <c r="A604" s="18" t="s">
        <v>1814</v>
      </c>
      <c r="B604" s="19" t="s">
        <v>1815</v>
      </c>
      <c r="C604" s="19" t="s">
        <v>1816</v>
      </c>
      <c r="D604" s="20">
        <v>5.6616</v>
      </c>
      <c r="E604" s="20" t="s">
        <v>1340</v>
      </c>
      <c r="F604" s="1">
        <v>1.6229134243615877</v>
      </c>
      <c r="G604" s="42" t="s">
        <v>187</v>
      </c>
      <c r="J604" s="44"/>
      <c r="K604" s="35" t="e">
        <v>#N/A</v>
      </c>
      <c r="L604" s="35" t="e">
        <v>#N/A</v>
      </c>
      <c r="M604" s="35" t="e">
        <v>#N/A</v>
      </c>
      <c r="N604" s="21"/>
      <c r="Q604" s="22" t="s">
        <v>187</v>
      </c>
      <c r="R604" s="2"/>
      <c r="S604" s="2"/>
      <c r="T604" s="2"/>
      <c r="U604" s="34" t="e">
        <f t="shared" si="9"/>
        <v>#N/A</v>
      </c>
    </row>
    <row r="605" spans="1:21" x14ac:dyDescent="0.2">
      <c r="A605" s="18" t="s">
        <v>1817</v>
      </c>
      <c r="B605" s="19" t="s">
        <v>1818</v>
      </c>
      <c r="C605" s="19" t="s">
        <v>1819</v>
      </c>
      <c r="D605" s="20">
        <v>5.0157638373333331</v>
      </c>
      <c r="E605" s="20">
        <v>13.926745652999999</v>
      </c>
      <c r="F605" s="1">
        <v>0.40572835609015495</v>
      </c>
      <c r="G605" s="42" t="s">
        <v>187</v>
      </c>
      <c r="J605" s="44"/>
      <c r="K605" s="35">
        <v>0.9103</v>
      </c>
      <c r="L605" s="35">
        <v>5.7799999999999997E-2</v>
      </c>
      <c r="M605" s="35">
        <v>0</v>
      </c>
      <c r="N605" s="21"/>
      <c r="Q605" s="22" t="s">
        <v>187</v>
      </c>
      <c r="R605" s="2"/>
      <c r="S605" s="2"/>
      <c r="T605" s="2"/>
      <c r="U605" s="34">
        <f t="shared" si="9"/>
        <v>0.9103</v>
      </c>
    </row>
    <row r="606" spans="1:21" x14ac:dyDescent="0.2">
      <c r="A606" s="18" t="s">
        <v>1820</v>
      </c>
      <c r="B606" s="19" t="s">
        <v>1821</v>
      </c>
      <c r="C606" s="19" t="s">
        <v>1822</v>
      </c>
      <c r="D606" s="20">
        <v>0.43698978366666669</v>
      </c>
      <c r="E606" s="20">
        <v>0.29397095500000003</v>
      </c>
      <c r="F606" s="1">
        <v>0</v>
      </c>
      <c r="G606" s="42"/>
      <c r="I606" s="43" t="s">
        <v>187</v>
      </c>
      <c r="J606" s="44"/>
      <c r="K606" s="35">
        <v>0</v>
      </c>
      <c r="L606" s="35">
        <v>0</v>
      </c>
      <c r="M606" s="35">
        <v>0.96230000000000004</v>
      </c>
      <c r="N606" s="21"/>
      <c r="O606" s="2" t="s">
        <v>187</v>
      </c>
      <c r="Q606" s="22"/>
      <c r="R606" s="2"/>
      <c r="S606" s="2"/>
      <c r="T606" s="2"/>
      <c r="U606" s="34">
        <f t="shared" si="9"/>
        <v>0.96230000000000004</v>
      </c>
    </row>
    <row r="607" spans="1:21" x14ac:dyDescent="0.2">
      <c r="A607" s="18" t="s">
        <v>1823</v>
      </c>
      <c r="B607" s="19" t="s">
        <v>1824</v>
      </c>
      <c r="C607" s="19" t="s">
        <v>1825</v>
      </c>
      <c r="D607" s="20">
        <v>6.2361144354999993</v>
      </c>
      <c r="E607" s="20">
        <v>8.9626735449999995</v>
      </c>
      <c r="F607" s="1">
        <v>2.2063136749473196</v>
      </c>
      <c r="G607" s="42" t="s">
        <v>187</v>
      </c>
      <c r="J607" s="44"/>
      <c r="K607" s="35">
        <v>0.91369999999999996</v>
      </c>
      <c r="L607" s="35">
        <v>9.4000000000000004E-3</v>
      </c>
      <c r="M607" s="35">
        <v>0</v>
      </c>
      <c r="N607" s="21"/>
      <c r="Q607" s="22" t="s">
        <v>187</v>
      </c>
      <c r="R607" s="2"/>
      <c r="S607" s="2"/>
      <c r="T607" s="2"/>
      <c r="U607" s="34">
        <f t="shared" si="9"/>
        <v>0.91369999999999996</v>
      </c>
    </row>
    <row r="608" spans="1:21" x14ac:dyDescent="0.2">
      <c r="A608" s="18" t="s">
        <v>1826</v>
      </c>
      <c r="B608" s="19" t="s">
        <v>1827</v>
      </c>
      <c r="C608" s="19" t="s">
        <v>1828</v>
      </c>
      <c r="D608" s="20">
        <v>5.4927958494999993</v>
      </c>
      <c r="E608" s="20">
        <v>21.931265849999999</v>
      </c>
      <c r="F608" s="1">
        <v>0.45667333320652004</v>
      </c>
      <c r="G608" s="42" t="s">
        <v>187</v>
      </c>
      <c r="J608" s="44"/>
      <c r="K608" s="35">
        <v>0.87709999999999999</v>
      </c>
      <c r="L608" s="35">
        <v>9.5200000000000007E-2</v>
      </c>
      <c r="M608" s="35">
        <v>0</v>
      </c>
      <c r="N608" s="21"/>
      <c r="Q608" s="22" t="s">
        <v>187</v>
      </c>
      <c r="R608" s="2"/>
      <c r="S608" s="2"/>
      <c r="T608" s="2"/>
      <c r="U608" s="34">
        <f t="shared" si="9"/>
        <v>0.87709999999999999</v>
      </c>
    </row>
    <row r="609" spans="1:21" x14ac:dyDescent="0.2">
      <c r="A609" s="18" t="s">
        <v>1830</v>
      </c>
      <c r="B609" s="19" t="s">
        <v>1831</v>
      </c>
      <c r="C609" s="19" t="s">
        <v>1832</v>
      </c>
      <c r="D609" s="20">
        <v>4.9049815655</v>
      </c>
      <c r="E609" s="20">
        <v>24.71446778</v>
      </c>
      <c r="F609" s="1">
        <v>0.71939908634735761</v>
      </c>
      <c r="G609" s="42" t="s">
        <v>187</v>
      </c>
      <c r="J609" s="44"/>
      <c r="K609" s="35">
        <v>0.75029999999999997</v>
      </c>
      <c r="L609" s="35">
        <v>0.21029999999999999</v>
      </c>
      <c r="M609" s="35">
        <v>0</v>
      </c>
      <c r="N609" s="21"/>
      <c r="Q609" s="22" t="s">
        <v>187</v>
      </c>
      <c r="R609" s="2"/>
      <c r="S609" s="2"/>
      <c r="T609" s="2"/>
      <c r="U609" s="34">
        <f t="shared" si="9"/>
        <v>0.75029999999999997</v>
      </c>
    </row>
    <row r="610" spans="1:21" x14ac:dyDescent="0.2">
      <c r="A610" s="18" t="s">
        <v>1833</v>
      </c>
      <c r="B610" s="19" t="s">
        <v>1834</v>
      </c>
      <c r="C610" s="19" t="s">
        <v>1835</v>
      </c>
      <c r="D610" s="20">
        <v>22.813707212499999</v>
      </c>
      <c r="E610" s="20">
        <v>21.369080275000002</v>
      </c>
      <c r="F610" s="1">
        <v>0.35054301963263318</v>
      </c>
      <c r="G610" s="42" t="s">
        <v>187</v>
      </c>
      <c r="J610" s="44"/>
      <c r="K610" s="35">
        <v>0.96819999999999995</v>
      </c>
      <c r="L610" s="35">
        <v>1E-4</v>
      </c>
      <c r="M610" s="35">
        <v>0</v>
      </c>
      <c r="N610" s="21" t="s">
        <v>187</v>
      </c>
      <c r="Q610" s="22" t="s">
        <v>187</v>
      </c>
      <c r="R610" s="2"/>
      <c r="S610" s="2"/>
      <c r="T610" s="2"/>
      <c r="U610" s="34">
        <f t="shared" si="9"/>
        <v>0.96819999999999995</v>
      </c>
    </row>
    <row r="611" spans="1:21" x14ac:dyDescent="0.2">
      <c r="A611" s="18" t="s">
        <v>1836</v>
      </c>
      <c r="B611" s="19" t="s">
        <v>1837</v>
      </c>
      <c r="C611" s="19" t="s">
        <v>1838</v>
      </c>
      <c r="D611" s="20">
        <v>4.7047235349999994</v>
      </c>
      <c r="E611" s="20">
        <v>10.942360074749999</v>
      </c>
      <c r="F611" s="1">
        <v>8.1852823036909026</v>
      </c>
      <c r="G611" s="42" t="s">
        <v>187</v>
      </c>
      <c r="J611" s="44"/>
      <c r="K611" s="35">
        <v>0.88060000000000005</v>
      </c>
      <c r="L611" s="35">
        <v>6.1100000000000002E-2</v>
      </c>
      <c r="M611" s="35">
        <v>0</v>
      </c>
      <c r="N611" s="21"/>
      <c r="Q611" s="22" t="s">
        <v>187</v>
      </c>
      <c r="R611" s="2"/>
      <c r="S611" s="2"/>
      <c r="T611" s="2"/>
      <c r="U611" s="34">
        <f t="shared" si="9"/>
        <v>0.88060000000000005</v>
      </c>
    </row>
    <row r="612" spans="1:21" x14ac:dyDescent="0.2">
      <c r="A612" s="18" t="s">
        <v>1839</v>
      </c>
      <c r="B612" s="19" t="s">
        <v>1840</v>
      </c>
      <c r="C612" s="19" t="s">
        <v>1841</v>
      </c>
      <c r="D612" s="20">
        <v>1.98269303475</v>
      </c>
      <c r="E612" s="20">
        <v>19.179118854999999</v>
      </c>
      <c r="F612" s="1">
        <v>0.51707265364989163</v>
      </c>
      <c r="G612" s="42"/>
      <c r="H612" s="43" t="s">
        <v>187</v>
      </c>
      <c r="J612" s="44"/>
      <c r="K612" s="35">
        <v>3.61E-2</v>
      </c>
      <c r="L612" s="35">
        <v>0.92830000000000001</v>
      </c>
      <c r="M612" s="35">
        <v>0</v>
      </c>
      <c r="N612" s="21"/>
      <c r="O612" s="2" t="s">
        <v>187</v>
      </c>
      <c r="Q612" s="22"/>
      <c r="R612" s="2"/>
      <c r="S612" s="2"/>
      <c r="T612" s="2"/>
      <c r="U612" s="34">
        <f t="shared" si="9"/>
        <v>0.92830000000000001</v>
      </c>
    </row>
    <row r="613" spans="1:21" x14ac:dyDescent="0.2">
      <c r="A613" s="18" t="s">
        <v>1842</v>
      </c>
      <c r="B613" s="19" t="s">
        <v>1843</v>
      </c>
      <c r="C613" s="19" t="s">
        <v>1844</v>
      </c>
      <c r="D613" s="20">
        <v>4.0914864399999997</v>
      </c>
      <c r="E613" s="20">
        <v>4.2778615226666661</v>
      </c>
      <c r="F613" s="1">
        <v>69.212329160452995</v>
      </c>
      <c r="G613" s="42"/>
      <c r="J613" s="44" t="s">
        <v>187</v>
      </c>
      <c r="K613" s="35">
        <v>4.1200000000000001E-2</v>
      </c>
      <c r="L613" s="35">
        <v>1.21E-2</v>
      </c>
      <c r="M613" s="35">
        <v>0</v>
      </c>
      <c r="N613" s="21"/>
      <c r="P613" s="2" t="s">
        <v>187</v>
      </c>
      <c r="Q613" s="22"/>
      <c r="R613" s="2"/>
      <c r="S613" s="2"/>
      <c r="T613" s="2"/>
      <c r="U613" s="34">
        <f t="shared" si="9"/>
        <v>4.1200000000000001E-2</v>
      </c>
    </row>
    <row r="614" spans="1:21" x14ac:dyDescent="0.2">
      <c r="A614" s="18" t="s">
        <v>1846</v>
      </c>
      <c r="B614" s="19" t="s">
        <v>1847</v>
      </c>
      <c r="C614" s="19" t="s">
        <v>1848</v>
      </c>
      <c r="D614" s="20">
        <v>4.6210720890000001</v>
      </c>
      <c r="E614" s="20">
        <v>1.5286</v>
      </c>
      <c r="F614" s="1">
        <v>43.742192029391063</v>
      </c>
      <c r="G614" s="42"/>
      <c r="J614" s="44" t="s">
        <v>187</v>
      </c>
      <c r="K614" s="35">
        <v>0</v>
      </c>
      <c r="L614" s="35">
        <v>0</v>
      </c>
      <c r="M614" s="35">
        <v>0</v>
      </c>
      <c r="N614" s="21"/>
      <c r="Q614" s="22"/>
      <c r="R614" s="2"/>
      <c r="S614" s="2"/>
      <c r="T614" s="2"/>
      <c r="U614" s="34">
        <f t="shared" si="9"/>
        <v>0</v>
      </c>
    </row>
    <row r="615" spans="1:21" x14ac:dyDescent="0.2">
      <c r="A615" s="18" t="s">
        <v>1850</v>
      </c>
      <c r="B615" s="19" t="s">
        <v>1851</v>
      </c>
      <c r="C615" s="19" t="s">
        <v>1852</v>
      </c>
      <c r="D615" s="20">
        <v>0.59088043549999991</v>
      </c>
      <c r="E615" s="20">
        <v>2.0100957690000003</v>
      </c>
      <c r="F615" s="1">
        <v>7.1782709154423694</v>
      </c>
      <c r="G615" s="42"/>
      <c r="I615" s="43" t="s">
        <v>187</v>
      </c>
      <c r="J615" s="44"/>
      <c r="K615" s="35">
        <v>0</v>
      </c>
      <c r="L615" s="35">
        <v>3.8300000000000001E-2</v>
      </c>
      <c r="M615" s="35">
        <v>0.73119999999999996</v>
      </c>
      <c r="N615" s="21" t="s">
        <v>187</v>
      </c>
      <c r="Q615" s="22"/>
      <c r="R615" s="2"/>
      <c r="S615" s="2"/>
      <c r="T615" s="2"/>
      <c r="U615" s="34">
        <f t="shared" si="9"/>
        <v>0.73119999999999996</v>
      </c>
    </row>
    <row r="616" spans="1:21" x14ac:dyDescent="0.2">
      <c r="A616" s="18" t="s">
        <v>1854</v>
      </c>
      <c r="B616" s="19" t="s">
        <v>1855</v>
      </c>
      <c r="C616" s="19" t="s">
        <v>1856</v>
      </c>
      <c r="D616" s="20">
        <v>0.38990929950000003</v>
      </c>
      <c r="E616" s="20">
        <v>7.9300942599999997</v>
      </c>
      <c r="F616" s="1">
        <v>0</v>
      </c>
      <c r="G616" s="42"/>
      <c r="H616" s="43" t="s">
        <v>187</v>
      </c>
      <c r="J616" s="44"/>
      <c r="K616" s="35">
        <v>0</v>
      </c>
      <c r="L616" s="35">
        <v>0.94699999999999995</v>
      </c>
      <c r="M616" s="35">
        <v>1.2E-2</v>
      </c>
      <c r="N616" s="21"/>
      <c r="O616" s="2" t="s">
        <v>187</v>
      </c>
      <c r="Q616" s="22"/>
      <c r="R616" s="2"/>
      <c r="S616" s="2"/>
      <c r="T616" s="2"/>
      <c r="U616" s="34">
        <f t="shared" si="9"/>
        <v>0.94699999999999995</v>
      </c>
    </row>
    <row r="617" spans="1:21" x14ac:dyDescent="0.2">
      <c r="A617" s="18" t="s">
        <v>1858</v>
      </c>
      <c r="B617" s="19" t="s">
        <v>1859</v>
      </c>
      <c r="C617" s="19" t="s">
        <v>1860</v>
      </c>
      <c r="D617" s="20">
        <v>3.9809999999999998E-2</v>
      </c>
      <c r="E617" s="20">
        <v>0.55212000000000006</v>
      </c>
      <c r="F617" s="1">
        <v>6.2920299236735741E-2</v>
      </c>
      <c r="G617" s="42"/>
      <c r="I617" s="49" t="s">
        <v>187</v>
      </c>
      <c r="J617" s="44"/>
      <c r="K617" s="35">
        <v>0</v>
      </c>
      <c r="L617" s="35">
        <v>2.0000000000000001E-4</v>
      </c>
      <c r="M617" s="35">
        <v>2.0000000000000001E-4</v>
      </c>
      <c r="N617" s="21"/>
      <c r="O617" s="2" t="s">
        <v>187</v>
      </c>
      <c r="Q617" s="22"/>
      <c r="R617" s="2"/>
      <c r="S617" s="2"/>
      <c r="T617" s="2"/>
      <c r="U617" s="34">
        <f t="shared" si="9"/>
        <v>2.0000000000000001E-4</v>
      </c>
    </row>
    <row r="618" spans="1:21" x14ac:dyDescent="0.2">
      <c r="A618" s="18" t="s">
        <v>1861</v>
      </c>
      <c r="B618" s="19" t="s">
        <v>1862</v>
      </c>
      <c r="C618" s="19" t="s">
        <v>1863</v>
      </c>
      <c r="D618" s="20">
        <v>3.8719767185</v>
      </c>
      <c r="E618" s="20">
        <v>3.2231835394999999</v>
      </c>
      <c r="F618" s="1">
        <v>8.3893732315658845E-2</v>
      </c>
      <c r="G618" s="42"/>
      <c r="J618" s="44" t="s">
        <v>187</v>
      </c>
      <c r="K618" s="35">
        <v>2.3E-3</v>
      </c>
      <c r="L618" s="35">
        <v>2E-3</v>
      </c>
      <c r="M618" s="35">
        <v>0</v>
      </c>
      <c r="N618" s="21"/>
      <c r="Q618" s="22"/>
      <c r="R618" s="2"/>
      <c r="S618" s="2"/>
      <c r="T618" s="2"/>
      <c r="U618" s="34">
        <f t="shared" si="9"/>
        <v>2.3E-3</v>
      </c>
    </row>
    <row r="619" spans="1:21" x14ac:dyDescent="0.2">
      <c r="A619" s="18" t="s">
        <v>1864</v>
      </c>
      <c r="B619" s="19" t="s">
        <v>1865</v>
      </c>
      <c r="C619" s="19" t="s">
        <v>1866</v>
      </c>
      <c r="D619" s="20">
        <v>1.4014961563333335</v>
      </c>
      <c r="E619" s="20">
        <v>43.942</v>
      </c>
      <c r="F619" s="1">
        <v>0.17303082290131411</v>
      </c>
      <c r="G619" s="42"/>
      <c r="H619" s="49" t="s">
        <v>187</v>
      </c>
      <c r="J619" s="44"/>
      <c r="K619" s="35">
        <v>6.9999999999999999E-4</v>
      </c>
      <c r="L619" s="35">
        <v>0.82499999999999996</v>
      </c>
      <c r="M619" s="35">
        <v>0</v>
      </c>
      <c r="N619" s="21"/>
      <c r="O619" s="2" t="s">
        <v>187</v>
      </c>
      <c r="Q619" s="22"/>
      <c r="R619" s="2"/>
      <c r="S619" s="2"/>
      <c r="T619" s="2"/>
      <c r="U619" s="34">
        <f t="shared" si="9"/>
        <v>0.82499999999999996</v>
      </c>
    </row>
    <row r="620" spans="1:21" x14ac:dyDescent="0.2">
      <c r="A620" s="18" t="s">
        <v>1867</v>
      </c>
      <c r="B620" s="19" t="s">
        <v>1868</v>
      </c>
      <c r="C620" s="19" t="s">
        <v>1869</v>
      </c>
      <c r="D620" s="20">
        <v>0.1950611535</v>
      </c>
      <c r="E620" s="20">
        <v>4.3795000000000002</v>
      </c>
      <c r="F620" s="1">
        <v>9.8874755943497566E-2</v>
      </c>
      <c r="G620" s="42"/>
      <c r="H620" s="49" t="s">
        <v>187</v>
      </c>
      <c r="J620" s="44"/>
      <c r="K620" s="35">
        <v>0</v>
      </c>
      <c r="L620" s="35">
        <v>0.80859999999999999</v>
      </c>
      <c r="M620" s="35">
        <v>5.16E-2</v>
      </c>
      <c r="N620" s="21"/>
      <c r="O620" s="2" t="s">
        <v>187</v>
      </c>
      <c r="Q620" s="22"/>
      <c r="R620" s="2"/>
      <c r="S620" s="2"/>
      <c r="T620" s="2"/>
      <c r="U620" s="34">
        <f t="shared" si="9"/>
        <v>0.80859999999999999</v>
      </c>
    </row>
    <row r="621" spans="1:21" x14ac:dyDescent="0.2">
      <c r="A621" s="18" t="s">
        <v>1870</v>
      </c>
      <c r="B621" s="19" t="s">
        <v>1871</v>
      </c>
      <c r="C621" s="19" t="s">
        <v>1872</v>
      </c>
      <c r="D621" s="20">
        <v>4.2461902499999997</v>
      </c>
      <c r="E621" s="20">
        <v>12.194651218499999</v>
      </c>
      <c r="F621" s="1">
        <v>0.3765150706327805</v>
      </c>
      <c r="G621" s="42" t="s">
        <v>187</v>
      </c>
      <c r="J621" s="44"/>
      <c r="K621" s="35">
        <v>0.82689999999999997</v>
      </c>
      <c r="L621" s="35">
        <v>0.1197</v>
      </c>
      <c r="M621" s="35">
        <v>0</v>
      </c>
      <c r="N621" s="21"/>
      <c r="Q621" s="22" t="s">
        <v>187</v>
      </c>
      <c r="R621" s="2"/>
      <c r="S621" s="2"/>
      <c r="T621" s="2"/>
      <c r="U621" s="34">
        <f t="shared" si="9"/>
        <v>0.82689999999999997</v>
      </c>
    </row>
    <row r="622" spans="1:21" x14ac:dyDescent="0.2">
      <c r="A622" s="18" t="s">
        <v>1873</v>
      </c>
      <c r="B622" s="19" t="s">
        <v>1874</v>
      </c>
      <c r="C622" s="19" t="s">
        <v>1875</v>
      </c>
      <c r="D622" s="20">
        <v>1.0286727250000001</v>
      </c>
      <c r="E622" s="20">
        <v>6.2211836746666664</v>
      </c>
      <c r="F622" s="1">
        <v>0.21296101280126026</v>
      </c>
      <c r="G622" s="42"/>
      <c r="H622" s="43" t="s">
        <v>187</v>
      </c>
      <c r="J622" s="44"/>
      <c r="K622" s="35">
        <v>2.0000000000000001E-4</v>
      </c>
      <c r="L622" s="35">
        <v>0.91590000000000005</v>
      </c>
      <c r="M622" s="35">
        <v>4.1000000000000003E-3</v>
      </c>
      <c r="N622" s="21"/>
      <c r="O622" s="2" t="s">
        <v>187</v>
      </c>
      <c r="Q622" s="22"/>
      <c r="R622" s="2"/>
      <c r="S622" s="2"/>
      <c r="T622" s="2"/>
      <c r="U622" s="34">
        <f t="shared" si="9"/>
        <v>0.91590000000000005</v>
      </c>
    </row>
    <row r="623" spans="1:21" x14ac:dyDescent="0.2">
      <c r="A623" s="18" t="s">
        <v>1876</v>
      </c>
      <c r="B623" s="19" t="s">
        <v>1877</v>
      </c>
      <c r="C623" s="19" t="s">
        <v>1878</v>
      </c>
      <c r="D623" s="20">
        <v>0.71244724933333325</v>
      </c>
      <c r="E623" s="20">
        <v>1.16454079775</v>
      </c>
      <c r="F623" s="1">
        <v>0</v>
      </c>
      <c r="G623" s="42"/>
      <c r="I623" s="43" t="s">
        <v>187</v>
      </c>
      <c r="J623" s="44"/>
      <c r="K623" s="35">
        <v>0</v>
      </c>
      <c r="L623" s="35">
        <v>2.9999999999999997E-4</v>
      </c>
      <c r="M623" s="35">
        <v>0.77480000000000004</v>
      </c>
      <c r="N623" s="21"/>
      <c r="O623" s="2" t="s">
        <v>187</v>
      </c>
      <c r="Q623" s="22"/>
      <c r="R623" s="2"/>
      <c r="S623" s="2"/>
      <c r="T623" s="2"/>
      <c r="U623" s="34">
        <f t="shared" si="9"/>
        <v>0.77480000000000004</v>
      </c>
    </row>
    <row r="624" spans="1:21" x14ac:dyDescent="0.2">
      <c r="A624" s="18" t="s">
        <v>1879</v>
      </c>
      <c r="B624" s="19" t="s">
        <v>1880</v>
      </c>
      <c r="C624" s="19" t="s">
        <v>1881</v>
      </c>
      <c r="D624" s="20">
        <v>4.9875380135</v>
      </c>
      <c r="E624" s="20">
        <v>14.971272692500001</v>
      </c>
      <c r="F624" s="1">
        <v>0.3209847149473623</v>
      </c>
      <c r="G624" s="42" t="s">
        <v>187</v>
      </c>
      <c r="J624" s="44"/>
      <c r="K624" s="35">
        <v>0.9032</v>
      </c>
      <c r="L624" s="35">
        <v>6.7000000000000004E-2</v>
      </c>
      <c r="M624" s="35">
        <v>0</v>
      </c>
      <c r="N624" s="21"/>
      <c r="P624" s="2" t="s">
        <v>187</v>
      </c>
      <c r="Q624" s="22"/>
      <c r="R624" s="2"/>
      <c r="S624" s="2"/>
      <c r="T624" s="2"/>
      <c r="U624" s="34">
        <f t="shared" si="9"/>
        <v>0.9032</v>
      </c>
    </row>
    <row r="625" spans="1:21" x14ac:dyDescent="0.2">
      <c r="A625" s="18" t="s">
        <v>1883</v>
      </c>
      <c r="B625" s="19" t="s">
        <v>1884</v>
      </c>
      <c r="C625" s="19" t="s">
        <v>1885</v>
      </c>
      <c r="D625" s="20">
        <v>10.4085</v>
      </c>
      <c r="E625" s="20">
        <v>10.908380855000001</v>
      </c>
      <c r="F625" s="1">
        <v>0</v>
      </c>
      <c r="G625" s="42" t="s">
        <v>187</v>
      </c>
      <c r="J625" s="44"/>
      <c r="K625" s="35">
        <v>0.96950000000000003</v>
      </c>
      <c r="L625" s="35">
        <v>5.9999999999999995E-4</v>
      </c>
      <c r="M625" s="35">
        <v>0</v>
      </c>
      <c r="N625" s="21"/>
      <c r="Q625" s="22" t="s">
        <v>187</v>
      </c>
      <c r="R625" s="2"/>
      <c r="S625" s="2"/>
      <c r="T625" s="2"/>
      <c r="U625" s="34">
        <f t="shared" si="9"/>
        <v>0.96950000000000003</v>
      </c>
    </row>
    <row r="626" spans="1:21" x14ac:dyDescent="0.2">
      <c r="A626" s="18" t="s">
        <v>1886</v>
      </c>
      <c r="B626" s="19" t="s">
        <v>1887</v>
      </c>
      <c r="C626" s="19" t="s">
        <v>1888</v>
      </c>
      <c r="D626" s="20">
        <v>0.57418732549999996</v>
      </c>
      <c r="E626" s="20">
        <v>3.953814961</v>
      </c>
      <c r="F626" s="1">
        <v>0</v>
      </c>
      <c r="G626" s="42"/>
      <c r="H626" s="43" t="s">
        <v>187</v>
      </c>
      <c r="J626" s="44"/>
      <c r="K626" s="35">
        <v>0</v>
      </c>
      <c r="L626" s="35">
        <v>0.72789999999999999</v>
      </c>
      <c r="M626" s="35">
        <v>0.1391</v>
      </c>
      <c r="N626" s="21"/>
      <c r="O626" s="2" t="s">
        <v>187</v>
      </c>
      <c r="Q626" s="22"/>
      <c r="R626" s="2"/>
      <c r="S626" s="2"/>
      <c r="T626" s="2"/>
      <c r="U626" s="34">
        <f t="shared" si="9"/>
        <v>0.72789999999999999</v>
      </c>
    </row>
    <row r="627" spans="1:21" x14ac:dyDescent="0.2">
      <c r="A627" s="18" t="s">
        <v>1889</v>
      </c>
      <c r="B627" s="19" t="s">
        <v>1890</v>
      </c>
      <c r="C627" s="19" t="s">
        <v>1891</v>
      </c>
      <c r="D627" s="20">
        <v>0.32229000000000002</v>
      </c>
      <c r="E627" s="20">
        <v>2.2231999999999998</v>
      </c>
      <c r="F627" s="1">
        <v>0</v>
      </c>
      <c r="G627" s="42"/>
      <c r="I627" s="43" t="s">
        <v>187</v>
      </c>
      <c r="J627" s="44"/>
      <c r="K627" s="35">
        <v>0</v>
      </c>
      <c r="L627" s="35">
        <v>0.1258</v>
      </c>
      <c r="M627" s="35">
        <v>0.71919999999999995</v>
      </c>
      <c r="N627" s="21"/>
      <c r="O627" s="2" t="s">
        <v>187</v>
      </c>
      <c r="Q627" s="22"/>
      <c r="R627" s="2"/>
      <c r="S627" s="2"/>
      <c r="T627" s="2"/>
      <c r="U627" s="34">
        <f t="shared" si="9"/>
        <v>0.71919999999999995</v>
      </c>
    </row>
    <row r="628" spans="1:21" x14ac:dyDescent="0.2">
      <c r="A628" s="18" t="s">
        <v>1892</v>
      </c>
      <c r="B628" s="19" t="s">
        <v>1893</v>
      </c>
      <c r="C628" s="19" t="s">
        <v>1894</v>
      </c>
      <c r="D628" s="20">
        <v>0.80361329975000007</v>
      </c>
      <c r="E628" s="20">
        <v>6.6252773875000006</v>
      </c>
      <c r="F628" s="1">
        <v>9.6128234945054694E-2</v>
      </c>
      <c r="G628" s="42"/>
      <c r="H628" s="43" t="s">
        <v>187</v>
      </c>
      <c r="J628" s="44"/>
      <c r="K628" s="35">
        <v>0</v>
      </c>
      <c r="L628" s="35">
        <v>0.94299999999999995</v>
      </c>
      <c r="M628" s="35">
        <v>6.6E-3</v>
      </c>
      <c r="N628" s="21"/>
      <c r="O628" s="2" t="s">
        <v>187</v>
      </c>
      <c r="Q628" s="22"/>
      <c r="R628" s="2"/>
      <c r="S628" s="2"/>
      <c r="T628" s="2"/>
      <c r="U628" s="34">
        <f t="shared" si="9"/>
        <v>0.94299999999999995</v>
      </c>
    </row>
    <row r="629" spans="1:21" x14ac:dyDescent="0.2">
      <c r="A629" s="18" t="s">
        <v>1332</v>
      </c>
      <c r="B629" s="19" t="s">
        <v>1895</v>
      </c>
      <c r="C629" s="19" t="s">
        <v>1896</v>
      </c>
      <c r="D629" s="20">
        <v>0.117187586</v>
      </c>
      <c r="E629" s="20">
        <v>8.8331999999999994E-2</v>
      </c>
      <c r="F629" s="1">
        <v>0</v>
      </c>
      <c r="G629" s="42"/>
      <c r="I629" s="43" t="s">
        <v>187</v>
      </c>
      <c r="J629" s="44"/>
      <c r="K629" s="35">
        <v>0</v>
      </c>
      <c r="L629" s="35">
        <v>0</v>
      </c>
      <c r="M629" s="35">
        <v>0.72689999999999999</v>
      </c>
      <c r="N629" s="21"/>
      <c r="O629" s="2" t="s">
        <v>187</v>
      </c>
      <c r="Q629" s="22"/>
      <c r="R629" s="2"/>
      <c r="S629" s="2"/>
      <c r="T629" s="2"/>
      <c r="U629" s="34">
        <f t="shared" si="9"/>
        <v>0.72689999999999999</v>
      </c>
    </row>
    <row r="630" spans="1:21" x14ac:dyDescent="0.2">
      <c r="A630" s="18" t="s">
        <v>1897</v>
      </c>
      <c r="B630" s="19" t="s">
        <v>1898</v>
      </c>
      <c r="C630" s="19" t="s">
        <v>1899</v>
      </c>
      <c r="D630" s="20">
        <v>1.3421074289999999</v>
      </c>
      <c r="E630" s="20">
        <v>0.75468999999999997</v>
      </c>
      <c r="F630" s="1">
        <v>1.2772929728764402</v>
      </c>
      <c r="G630" s="42"/>
      <c r="J630" s="44" t="s">
        <v>187</v>
      </c>
      <c r="K630" s="35">
        <v>0</v>
      </c>
      <c r="L630" s="35">
        <v>0</v>
      </c>
      <c r="M630" s="35">
        <v>0.12889999999999999</v>
      </c>
      <c r="N630" s="21"/>
      <c r="Q630" s="22"/>
      <c r="R630" s="2"/>
      <c r="S630" s="2"/>
      <c r="T630" s="2"/>
      <c r="U630" s="34">
        <f t="shared" si="9"/>
        <v>0.12889999999999999</v>
      </c>
    </row>
    <row r="631" spans="1:21" x14ac:dyDescent="0.2">
      <c r="A631" s="18" t="s">
        <v>1900</v>
      </c>
      <c r="B631" s="19" t="s">
        <v>1901</v>
      </c>
      <c r="C631" s="19" t="s">
        <v>1902</v>
      </c>
      <c r="D631" s="20">
        <v>5.4543744034999992</v>
      </c>
      <c r="E631" s="20">
        <v>6.4600999999999997</v>
      </c>
      <c r="F631" s="1">
        <v>5.7703588421711851</v>
      </c>
      <c r="G631" s="42" t="s">
        <v>187</v>
      </c>
      <c r="J631" s="44"/>
      <c r="K631" s="35">
        <v>0.62250000000000005</v>
      </c>
      <c r="L631" s="35">
        <v>1.46E-2</v>
      </c>
      <c r="M631" s="35">
        <v>0</v>
      </c>
      <c r="N631" s="21"/>
      <c r="Q631" s="22" t="s">
        <v>187</v>
      </c>
      <c r="R631" s="2"/>
      <c r="S631" s="2"/>
      <c r="T631" s="2"/>
      <c r="U631" s="34">
        <f t="shared" si="9"/>
        <v>0.62250000000000005</v>
      </c>
    </row>
    <row r="632" spans="1:21" x14ac:dyDescent="0.2">
      <c r="A632" s="18" t="s">
        <v>1903</v>
      </c>
      <c r="B632" s="19" t="s">
        <v>1904</v>
      </c>
      <c r="C632" s="19" t="s">
        <v>1905</v>
      </c>
      <c r="D632" s="20">
        <v>0.66701999999999995</v>
      </c>
      <c r="E632" s="20">
        <v>1.3571</v>
      </c>
      <c r="F632" s="1">
        <v>3.6064742763562196</v>
      </c>
      <c r="G632" s="42"/>
      <c r="I632" s="43" t="s">
        <v>187</v>
      </c>
      <c r="J632" s="44"/>
      <c r="K632" s="35">
        <v>0</v>
      </c>
      <c r="L632" s="35">
        <v>1.4E-3</v>
      </c>
      <c r="M632" s="35">
        <v>0.78620000000000001</v>
      </c>
      <c r="N632" s="21"/>
      <c r="O632" s="2" t="s">
        <v>187</v>
      </c>
      <c r="Q632" s="22"/>
      <c r="R632" s="2"/>
      <c r="S632" s="2"/>
      <c r="T632" s="2"/>
      <c r="U632" s="34">
        <f t="shared" si="9"/>
        <v>0.78620000000000001</v>
      </c>
    </row>
    <row r="633" spans="1:21" x14ac:dyDescent="0.2">
      <c r="A633" s="18" t="s">
        <v>1906</v>
      </c>
      <c r="B633" s="19" t="s">
        <v>1907</v>
      </c>
      <c r="C633" s="19" t="s">
        <v>1908</v>
      </c>
      <c r="D633" s="20">
        <v>1.9512800000000001</v>
      </c>
      <c r="E633" s="20">
        <v>2.4830000000000001</v>
      </c>
      <c r="F633" s="1" t="s">
        <v>47</v>
      </c>
      <c r="G633" s="42"/>
      <c r="J633" s="44" t="s">
        <v>187</v>
      </c>
      <c r="K633" s="35">
        <v>0</v>
      </c>
      <c r="L633" s="35">
        <v>9.7000000000000003E-3</v>
      </c>
      <c r="M633" s="35">
        <v>3.0000000000000001E-3</v>
      </c>
      <c r="N633" s="21"/>
      <c r="Q633" s="22"/>
      <c r="R633" s="2"/>
      <c r="S633" s="2"/>
      <c r="T633" s="2"/>
      <c r="U633" s="34">
        <f t="shared" si="9"/>
        <v>9.7000000000000003E-3</v>
      </c>
    </row>
    <row r="634" spans="1:21" x14ac:dyDescent="0.2">
      <c r="A634" s="18" t="s">
        <v>1910</v>
      </c>
      <c r="B634" s="19" t="s">
        <v>1911</v>
      </c>
      <c r="C634" s="19" t="s">
        <v>1912</v>
      </c>
      <c r="D634" s="20">
        <v>1.6433274173333334</v>
      </c>
      <c r="E634" s="20">
        <v>3.5299809144999998</v>
      </c>
      <c r="F634" s="1">
        <v>69.858310899249361</v>
      </c>
      <c r="G634" s="42"/>
      <c r="J634" s="44" t="s">
        <v>187</v>
      </c>
      <c r="K634" s="35">
        <v>2.9999999999999997E-4</v>
      </c>
      <c r="L634" s="35">
        <v>0.192</v>
      </c>
      <c r="M634" s="35">
        <v>6.1000000000000004E-3</v>
      </c>
      <c r="N634" s="21"/>
      <c r="Q634" s="22"/>
      <c r="R634" s="2"/>
      <c r="S634" s="2"/>
      <c r="T634" s="2"/>
      <c r="U634" s="34">
        <f t="shared" si="9"/>
        <v>0.192</v>
      </c>
    </row>
    <row r="635" spans="1:21" x14ac:dyDescent="0.2">
      <c r="A635" s="18" t="s">
        <v>1913</v>
      </c>
      <c r="B635" s="19" t="s">
        <v>1914</v>
      </c>
      <c r="C635" s="19" t="s">
        <v>1915</v>
      </c>
      <c r="D635" s="20">
        <v>2.0533146589999998</v>
      </c>
      <c r="E635" s="20">
        <v>4.5563299492500002</v>
      </c>
      <c r="F635" s="1">
        <v>53.008501509928323</v>
      </c>
      <c r="G635" s="42"/>
      <c r="J635" s="44" t="s">
        <v>187</v>
      </c>
      <c r="K635" s="35">
        <v>6.0000000000000001E-3</v>
      </c>
      <c r="L635" s="35">
        <v>0.31369999999999998</v>
      </c>
      <c r="M635" s="35">
        <v>5.9999999999999995E-4</v>
      </c>
      <c r="N635" s="21"/>
      <c r="Q635" s="22"/>
      <c r="R635" s="2"/>
      <c r="S635" s="2"/>
      <c r="T635" s="2"/>
      <c r="U635" s="34">
        <f t="shared" si="9"/>
        <v>0.31369999999999998</v>
      </c>
    </row>
    <row r="636" spans="1:21" x14ac:dyDescent="0.2">
      <c r="A636" s="18" t="s">
        <v>1916</v>
      </c>
      <c r="B636" s="19" t="s">
        <v>1917</v>
      </c>
      <c r="C636" s="19" t="s">
        <v>1918</v>
      </c>
      <c r="D636" s="20">
        <v>0.96471210525000006</v>
      </c>
      <c r="E636" s="20">
        <v>11.20458266</v>
      </c>
      <c r="F636" s="1">
        <v>0</v>
      </c>
      <c r="G636" s="42"/>
      <c r="H636" s="43" t="s">
        <v>187</v>
      </c>
      <c r="J636" s="44"/>
      <c r="K636" s="35">
        <v>2.9999999999999997E-4</v>
      </c>
      <c r="L636" s="35">
        <v>0.97289999999999999</v>
      </c>
      <c r="M636" s="35">
        <v>5.0000000000000001E-4</v>
      </c>
      <c r="N636" s="21"/>
      <c r="O636" s="2" t="s">
        <v>187</v>
      </c>
      <c r="Q636" s="22"/>
      <c r="R636" s="2"/>
      <c r="S636" s="2"/>
      <c r="T636" s="2"/>
      <c r="U636" s="34">
        <f t="shared" si="9"/>
        <v>0.97289999999999999</v>
      </c>
    </row>
    <row r="637" spans="1:21" x14ac:dyDescent="0.2">
      <c r="A637" s="18" t="s">
        <v>1919</v>
      </c>
      <c r="B637" s="19" t="s">
        <v>1920</v>
      </c>
      <c r="C637" s="19" t="s">
        <v>1921</v>
      </c>
      <c r="D637" s="20">
        <v>0.22834058974999999</v>
      </c>
      <c r="E637" s="20">
        <v>7.7331274750000012E-2</v>
      </c>
      <c r="F637" s="1">
        <v>0.25562741780512505</v>
      </c>
      <c r="G637" s="42"/>
      <c r="I637" s="43" t="s">
        <v>187</v>
      </c>
      <c r="J637" s="44"/>
      <c r="K637" s="35">
        <v>0</v>
      </c>
      <c r="L637" s="35">
        <v>0</v>
      </c>
      <c r="M637" s="35">
        <v>0.94799999999999995</v>
      </c>
      <c r="N637" s="21"/>
      <c r="O637" s="2" t="s">
        <v>187</v>
      </c>
      <c r="Q637" s="22"/>
      <c r="R637" s="2"/>
      <c r="S637" s="2"/>
      <c r="T637" s="2"/>
      <c r="U637" s="34">
        <f t="shared" si="9"/>
        <v>0.94799999999999995</v>
      </c>
    </row>
    <row r="638" spans="1:21" x14ac:dyDescent="0.2">
      <c r="A638" s="18" t="s">
        <v>1922</v>
      </c>
      <c r="B638" s="19" t="s">
        <v>1923</v>
      </c>
      <c r="C638" s="19" t="s">
        <v>1921</v>
      </c>
      <c r="D638" s="20">
        <v>0.18770822175000001</v>
      </c>
      <c r="E638" s="20">
        <v>7.5339597999999994E-2</v>
      </c>
      <c r="F638" s="1">
        <v>0.37169584178754661</v>
      </c>
      <c r="G638" s="42"/>
      <c r="I638" s="43" t="s">
        <v>187</v>
      </c>
      <c r="J638" s="44"/>
      <c r="K638" s="35">
        <v>0</v>
      </c>
      <c r="L638" s="35">
        <v>0</v>
      </c>
      <c r="M638" s="35">
        <v>0.92710000000000004</v>
      </c>
      <c r="N638" s="21"/>
      <c r="O638" s="2" t="s">
        <v>187</v>
      </c>
      <c r="Q638" s="22"/>
      <c r="R638" s="2"/>
      <c r="S638" s="2"/>
      <c r="T638" s="2"/>
      <c r="U638" s="34">
        <f t="shared" si="9"/>
        <v>0.92710000000000004</v>
      </c>
    </row>
    <row r="639" spans="1:21" x14ac:dyDescent="0.2">
      <c r="A639" s="18" t="s">
        <v>1803</v>
      </c>
      <c r="B639" s="19" t="s">
        <v>1924</v>
      </c>
      <c r="C639" s="19" t="s">
        <v>1925</v>
      </c>
      <c r="D639" s="20">
        <v>0.21347537524999999</v>
      </c>
      <c r="E639" s="20">
        <v>1.0340860160000001</v>
      </c>
      <c r="F639" s="1" t="s">
        <v>47</v>
      </c>
      <c r="G639" s="42"/>
      <c r="I639" s="43" t="s">
        <v>187</v>
      </c>
      <c r="J639" s="44"/>
      <c r="K639" s="35">
        <v>0</v>
      </c>
      <c r="L639" s="35">
        <v>1.5E-3</v>
      </c>
      <c r="M639" s="35">
        <v>0.88419999999999999</v>
      </c>
      <c r="N639" s="21"/>
      <c r="O639" s="2" t="s">
        <v>187</v>
      </c>
      <c r="Q639" s="22"/>
      <c r="R639" s="2"/>
      <c r="S639" s="2"/>
      <c r="T639" s="2"/>
      <c r="U639" s="34">
        <f t="shared" si="9"/>
        <v>0.88419999999999999</v>
      </c>
    </row>
    <row r="640" spans="1:21" x14ac:dyDescent="0.2">
      <c r="A640" s="18" t="s">
        <v>1926</v>
      </c>
      <c r="B640" s="19" t="s">
        <v>1927</v>
      </c>
      <c r="C640" s="19" t="s">
        <v>1928</v>
      </c>
      <c r="D640" s="20">
        <v>0.35544955125</v>
      </c>
      <c r="E640" s="20">
        <v>0.54203479899999996</v>
      </c>
      <c r="F640" s="1">
        <v>3.6583659699105398</v>
      </c>
      <c r="G640" s="42"/>
      <c r="I640" s="43" t="s">
        <v>187</v>
      </c>
      <c r="J640" s="44"/>
      <c r="K640" s="35">
        <v>0</v>
      </c>
      <c r="L640" s="35">
        <v>0</v>
      </c>
      <c r="M640" s="35">
        <v>0.96230000000000004</v>
      </c>
      <c r="N640" s="21" t="s">
        <v>187</v>
      </c>
      <c r="Q640" s="22"/>
      <c r="R640" s="2"/>
      <c r="S640" s="2"/>
      <c r="T640" s="2"/>
      <c r="U640" s="34">
        <f t="shared" si="9"/>
        <v>0.96230000000000004</v>
      </c>
    </row>
    <row r="641" spans="1:21" x14ac:dyDescent="0.2">
      <c r="A641" s="18" t="s">
        <v>1929</v>
      </c>
      <c r="B641" s="19" t="s">
        <v>1930</v>
      </c>
      <c r="C641" s="19" t="s">
        <v>1931</v>
      </c>
      <c r="D641" s="20">
        <v>0.166896671</v>
      </c>
      <c r="E641" s="20">
        <v>0.27015349266666672</v>
      </c>
      <c r="F641" s="1">
        <v>0.16929634470899227</v>
      </c>
      <c r="G641" s="42"/>
      <c r="I641" s="43" t="s">
        <v>187</v>
      </c>
      <c r="J641" s="44"/>
      <c r="K641" s="35">
        <v>0</v>
      </c>
      <c r="L641" s="35">
        <v>0</v>
      </c>
      <c r="M641" s="35">
        <v>0.92</v>
      </c>
      <c r="N641" s="21"/>
      <c r="O641" s="2" t="s">
        <v>187</v>
      </c>
      <c r="Q641" s="22"/>
      <c r="R641" s="2"/>
      <c r="S641" s="2"/>
      <c r="T641" s="2"/>
      <c r="U641" s="34">
        <f t="shared" si="9"/>
        <v>0.92</v>
      </c>
    </row>
    <row r="642" spans="1:21" x14ac:dyDescent="0.2">
      <c r="A642" s="18" t="s">
        <v>1932</v>
      </c>
      <c r="B642" s="19" t="s">
        <v>1933</v>
      </c>
      <c r="C642" s="19" t="s">
        <v>1934</v>
      </c>
      <c r="D642" s="20">
        <v>0.38897845375000001</v>
      </c>
      <c r="E642" s="20">
        <v>21.7269001025</v>
      </c>
      <c r="F642" s="1">
        <v>4.8749553582567131</v>
      </c>
      <c r="G642" s="42"/>
      <c r="H642" s="43" t="s">
        <v>187</v>
      </c>
      <c r="J642" s="44"/>
      <c r="K642" s="35">
        <v>0</v>
      </c>
      <c r="L642" s="35">
        <v>0.81520000000000004</v>
      </c>
      <c r="M642" s="35">
        <v>2.3E-3</v>
      </c>
      <c r="N642" s="21" t="s">
        <v>187</v>
      </c>
      <c r="Q642" s="22"/>
      <c r="R642" s="2"/>
      <c r="S642" s="2"/>
      <c r="T642" s="2"/>
      <c r="U642" s="34">
        <f t="shared" ref="U642:U705" si="10">MAX(K642:M642)</f>
        <v>0.81520000000000004</v>
      </c>
    </row>
    <row r="643" spans="1:21" x14ac:dyDescent="0.2">
      <c r="A643" s="18" t="s">
        <v>1935</v>
      </c>
      <c r="B643" s="19" t="s">
        <v>1936</v>
      </c>
      <c r="C643" s="19" t="s">
        <v>1937</v>
      </c>
      <c r="D643" s="20">
        <v>0.67188364575000004</v>
      </c>
      <c r="E643" s="20">
        <v>14.439759407500002</v>
      </c>
      <c r="F643" s="1">
        <v>0.47069954237861</v>
      </c>
      <c r="G643" s="42"/>
      <c r="H643" s="43" t="s">
        <v>187</v>
      </c>
      <c r="J643" s="44"/>
      <c r="K643" s="35">
        <v>0</v>
      </c>
      <c r="L643" s="35">
        <v>0.96909999999999996</v>
      </c>
      <c r="M643" s="35">
        <v>8.9999999999999998E-4</v>
      </c>
      <c r="N643" s="21"/>
      <c r="O643" s="2" t="s">
        <v>187</v>
      </c>
      <c r="Q643" s="22"/>
      <c r="R643" s="2"/>
      <c r="S643" s="2"/>
      <c r="T643" s="2"/>
      <c r="U643" s="34">
        <f t="shared" si="10"/>
        <v>0.96909999999999996</v>
      </c>
    </row>
    <row r="644" spans="1:21" x14ac:dyDescent="0.2">
      <c r="A644" s="18" t="s">
        <v>1938</v>
      </c>
      <c r="B644" s="19" t="s">
        <v>1939</v>
      </c>
      <c r="C644" s="19" t="s">
        <v>1940</v>
      </c>
      <c r="D644" s="20">
        <v>0.39554974049999997</v>
      </c>
      <c r="E644" s="20">
        <v>6.5856397224999998</v>
      </c>
      <c r="F644" s="1">
        <v>0</v>
      </c>
      <c r="G644" s="42"/>
      <c r="H644" s="43" t="s">
        <v>187</v>
      </c>
      <c r="J644" s="44"/>
      <c r="K644" s="35">
        <v>0</v>
      </c>
      <c r="L644" s="35">
        <v>0.93279999999999996</v>
      </c>
      <c r="M644" s="35">
        <v>2.1700000000000001E-2</v>
      </c>
      <c r="N644" s="21"/>
      <c r="O644" s="2" t="s">
        <v>187</v>
      </c>
      <c r="Q644" s="22"/>
      <c r="R644" s="2"/>
      <c r="S644" s="2"/>
      <c r="T644" s="2"/>
      <c r="U644" s="34">
        <f t="shared" si="10"/>
        <v>0.93279999999999996</v>
      </c>
    </row>
    <row r="645" spans="1:21" x14ac:dyDescent="0.2">
      <c r="A645" s="18" t="s">
        <v>1941</v>
      </c>
      <c r="B645" s="19" t="s">
        <v>1942</v>
      </c>
      <c r="C645" s="19" t="s">
        <v>1943</v>
      </c>
      <c r="D645" s="20">
        <v>0.47888370975</v>
      </c>
      <c r="E645" s="20">
        <v>3.7411890896666669</v>
      </c>
      <c r="F645" s="1">
        <v>0.37538890392092561</v>
      </c>
      <c r="G645" s="42"/>
      <c r="H645" s="49" t="s">
        <v>187</v>
      </c>
      <c r="J645" s="44"/>
      <c r="K645" s="35">
        <v>0</v>
      </c>
      <c r="L645" s="35">
        <v>0.67459999999999998</v>
      </c>
      <c r="M645" s="35">
        <v>0.19889999999999999</v>
      </c>
      <c r="N645" s="21"/>
      <c r="O645" s="2" t="s">
        <v>187</v>
      </c>
      <c r="Q645" s="22"/>
      <c r="R645" s="2"/>
      <c r="S645" s="2"/>
      <c r="T645" s="2"/>
      <c r="U645" s="34">
        <f t="shared" si="10"/>
        <v>0.67459999999999998</v>
      </c>
    </row>
    <row r="646" spans="1:21" x14ac:dyDescent="0.2">
      <c r="A646" s="18" t="s">
        <v>1944</v>
      </c>
      <c r="B646" s="19" t="s">
        <v>1945</v>
      </c>
      <c r="C646" s="19" t="s">
        <v>1946</v>
      </c>
      <c r="D646" s="20">
        <v>1.8030305605000001</v>
      </c>
      <c r="E646" s="20">
        <v>0.38297999999999999</v>
      </c>
      <c r="F646" s="1" t="s">
        <v>47</v>
      </c>
      <c r="G646" s="42"/>
      <c r="J646" s="44" t="s">
        <v>187</v>
      </c>
      <c r="K646" s="35">
        <v>0</v>
      </c>
      <c r="L646" s="35">
        <v>0</v>
      </c>
      <c r="M646" s="35">
        <v>1.3899999999999999E-2</v>
      </c>
      <c r="N646" s="21"/>
      <c r="Q646" s="22"/>
      <c r="R646" s="2"/>
      <c r="S646" s="2"/>
      <c r="T646" s="2"/>
      <c r="U646" s="34">
        <f t="shared" si="10"/>
        <v>1.3899999999999999E-2</v>
      </c>
    </row>
    <row r="647" spans="1:21" x14ac:dyDescent="0.2">
      <c r="A647" s="18" t="s">
        <v>1947</v>
      </c>
      <c r="B647" s="19" t="s">
        <v>1948</v>
      </c>
      <c r="C647" s="19" t="s">
        <v>1949</v>
      </c>
      <c r="D647" s="20">
        <v>0.50378999999999996</v>
      </c>
      <c r="E647" s="20">
        <v>0.20552000000000001</v>
      </c>
      <c r="F647" s="1">
        <v>3.8318789186279356</v>
      </c>
      <c r="G647" s="42"/>
      <c r="I647" s="43" t="s">
        <v>187</v>
      </c>
      <c r="J647" s="44"/>
      <c r="K647" s="35">
        <v>0</v>
      </c>
      <c r="L647" s="35">
        <v>0</v>
      </c>
      <c r="M647" s="35">
        <v>0.94779999999999998</v>
      </c>
      <c r="N647" s="21" t="s">
        <v>187</v>
      </c>
      <c r="Q647" s="22"/>
      <c r="R647" s="2"/>
      <c r="S647" s="2"/>
      <c r="T647" s="2"/>
      <c r="U647" s="34">
        <f t="shared" si="10"/>
        <v>0.94779999999999998</v>
      </c>
    </row>
    <row r="648" spans="1:21" x14ac:dyDescent="0.2">
      <c r="A648" s="18" t="s">
        <v>1950</v>
      </c>
      <c r="B648" s="19" t="s">
        <v>1951</v>
      </c>
      <c r="C648" s="19" t="s">
        <v>1952</v>
      </c>
      <c r="D648" s="20">
        <v>0.41371282249999997</v>
      </c>
      <c r="E648" s="20">
        <v>0.21263000000000001</v>
      </c>
      <c r="F648" s="1">
        <v>1.4168291799969077</v>
      </c>
      <c r="G648" s="42"/>
      <c r="I648" s="43" t="s">
        <v>187</v>
      </c>
      <c r="J648" s="44"/>
      <c r="K648" s="35">
        <v>0</v>
      </c>
      <c r="L648" s="35">
        <v>0</v>
      </c>
      <c r="M648" s="35">
        <v>0.96460000000000001</v>
      </c>
      <c r="N648" s="21" t="s">
        <v>187</v>
      </c>
      <c r="Q648" s="22"/>
      <c r="R648" s="2"/>
      <c r="S648" s="2"/>
      <c r="T648" s="2"/>
      <c r="U648" s="34">
        <f t="shared" si="10"/>
        <v>0.96460000000000001</v>
      </c>
    </row>
    <row r="649" spans="1:21" x14ac:dyDescent="0.2">
      <c r="A649" s="18" t="s">
        <v>1882</v>
      </c>
      <c r="B649" s="19" t="s">
        <v>1953</v>
      </c>
      <c r="C649" s="19" t="s">
        <v>1954</v>
      </c>
      <c r="D649" s="20">
        <v>0.15552992199999999</v>
      </c>
      <c r="E649" s="20">
        <v>0.10557</v>
      </c>
      <c r="F649" s="1">
        <v>1.5778324959058381</v>
      </c>
      <c r="G649" s="42"/>
      <c r="I649" s="43" t="s">
        <v>187</v>
      </c>
      <c r="J649" s="44"/>
      <c r="K649" s="35">
        <v>0</v>
      </c>
      <c r="L649" s="35">
        <v>0</v>
      </c>
      <c r="M649" s="35">
        <v>0.9</v>
      </c>
      <c r="N649" s="21"/>
      <c r="O649" s="2" t="s">
        <v>187</v>
      </c>
      <c r="Q649" s="22"/>
      <c r="R649" s="2"/>
      <c r="S649" s="2"/>
      <c r="T649" s="2"/>
      <c r="U649" s="34">
        <f t="shared" si="10"/>
        <v>0.9</v>
      </c>
    </row>
    <row r="650" spans="1:21" x14ac:dyDescent="0.2">
      <c r="A650" s="18" t="s">
        <v>1643</v>
      </c>
      <c r="B650" s="19" t="s">
        <v>1956</v>
      </c>
      <c r="C650" s="19" t="s">
        <v>1957</v>
      </c>
      <c r="D650" s="20">
        <v>0.31185324324999997</v>
      </c>
      <c r="E650" s="20">
        <v>0.21003219750000002</v>
      </c>
      <c r="F650" s="1">
        <v>0.13310063300081834</v>
      </c>
      <c r="G650" s="42"/>
      <c r="I650" s="43" t="s">
        <v>187</v>
      </c>
      <c r="J650" s="44"/>
      <c r="K650" s="35">
        <v>0</v>
      </c>
      <c r="L650" s="35">
        <v>0</v>
      </c>
      <c r="M650" s="35">
        <v>0.97109999999999996</v>
      </c>
      <c r="N650" s="21"/>
      <c r="O650" s="2" t="s">
        <v>187</v>
      </c>
      <c r="Q650" s="22"/>
      <c r="R650" s="2"/>
      <c r="S650" s="2"/>
      <c r="T650" s="2"/>
      <c r="U650" s="34">
        <f t="shared" si="10"/>
        <v>0.97109999999999996</v>
      </c>
    </row>
    <row r="651" spans="1:21" x14ac:dyDescent="0.2">
      <c r="A651" s="18" t="s">
        <v>1958</v>
      </c>
      <c r="B651" s="19" t="s">
        <v>1959</v>
      </c>
      <c r="C651" s="19" t="s">
        <v>1960</v>
      </c>
      <c r="D651" s="20">
        <v>2.0289259180000001</v>
      </c>
      <c r="E651" s="20">
        <v>1.1686000000000001</v>
      </c>
      <c r="F651" s="1">
        <v>0</v>
      </c>
      <c r="G651" s="42"/>
      <c r="J651" s="44" t="s">
        <v>187</v>
      </c>
      <c r="K651" s="35">
        <v>0</v>
      </c>
      <c r="L651" s="35">
        <v>0</v>
      </c>
      <c r="M651" s="35">
        <v>4.1000000000000003E-3</v>
      </c>
      <c r="N651" s="21"/>
      <c r="Q651" s="22"/>
      <c r="R651" s="2"/>
      <c r="S651" s="2"/>
      <c r="T651" s="2"/>
      <c r="U651" s="34">
        <f t="shared" si="10"/>
        <v>4.1000000000000003E-3</v>
      </c>
    </row>
    <row r="652" spans="1:21" x14ac:dyDescent="0.2">
      <c r="A652" s="18" t="s">
        <v>1961</v>
      </c>
      <c r="B652" s="19" t="s">
        <v>1962</v>
      </c>
      <c r="C652" s="19" t="s">
        <v>1963</v>
      </c>
      <c r="D652" s="20">
        <v>0.27355932324999999</v>
      </c>
      <c r="E652" s="20">
        <v>7.4344610000000005E-2</v>
      </c>
      <c r="F652" s="1">
        <v>0.49086758269819819</v>
      </c>
      <c r="G652" s="42"/>
      <c r="I652" s="43" t="s">
        <v>187</v>
      </c>
      <c r="J652" s="44"/>
      <c r="K652" s="35">
        <v>0</v>
      </c>
      <c r="L652" s="35">
        <v>0</v>
      </c>
      <c r="M652" s="35">
        <v>0.95289999999999997</v>
      </c>
      <c r="N652" s="21" t="s">
        <v>187</v>
      </c>
      <c r="Q652" s="22"/>
      <c r="R652" s="2"/>
      <c r="S652" s="2"/>
      <c r="T652" s="2"/>
      <c r="U652" s="34">
        <f t="shared" si="10"/>
        <v>0.95289999999999997</v>
      </c>
    </row>
    <row r="653" spans="1:21" x14ac:dyDescent="0.2">
      <c r="A653" s="18" t="s">
        <v>1964</v>
      </c>
      <c r="B653" s="19" t="s">
        <v>1965</v>
      </c>
      <c r="C653" s="19" t="s">
        <v>1966</v>
      </c>
      <c r="D653" s="20">
        <v>0.30096279524999997</v>
      </c>
      <c r="E653" s="20">
        <v>0.2320123415</v>
      </c>
      <c r="F653" s="1">
        <v>9.2283105547259825E-2</v>
      </c>
      <c r="G653" s="42"/>
      <c r="I653" s="43" t="s">
        <v>187</v>
      </c>
      <c r="J653" s="44"/>
      <c r="K653" s="35">
        <v>0</v>
      </c>
      <c r="L653" s="35">
        <v>0</v>
      </c>
      <c r="M653" s="35">
        <v>0.97119999999999995</v>
      </c>
      <c r="N653" s="21" t="s">
        <v>187</v>
      </c>
      <c r="Q653" s="22"/>
      <c r="R653" s="2"/>
      <c r="S653" s="2"/>
      <c r="T653" s="2"/>
      <c r="U653" s="34">
        <f t="shared" si="10"/>
        <v>0.97119999999999995</v>
      </c>
    </row>
    <row r="654" spans="1:21" x14ac:dyDescent="0.2">
      <c r="A654" s="18" t="s">
        <v>1967</v>
      </c>
      <c r="B654" s="19" t="s">
        <v>1968</v>
      </c>
      <c r="C654" s="19" t="s">
        <v>1969</v>
      </c>
      <c r="D654" s="20">
        <v>7.3878658437500002</v>
      </c>
      <c r="E654" s="20">
        <v>9.9681540875000003</v>
      </c>
      <c r="F654" s="1">
        <v>0.44743323901690502</v>
      </c>
      <c r="G654" s="42" t="s">
        <v>187</v>
      </c>
      <c r="J654" s="44"/>
      <c r="K654" s="35">
        <v>0.95189999999999997</v>
      </c>
      <c r="L654" s="35">
        <v>3.8E-3</v>
      </c>
      <c r="M654" s="35">
        <v>0</v>
      </c>
      <c r="N654" s="21"/>
      <c r="Q654" s="22" t="s">
        <v>187</v>
      </c>
      <c r="R654" s="2"/>
      <c r="S654" s="2"/>
      <c r="T654" s="2"/>
      <c r="U654" s="34">
        <f t="shared" si="10"/>
        <v>0.95189999999999997</v>
      </c>
    </row>
    <row r="655" spans="1:21" x14ac:dyDescent="0.2">
      <c r="A655" s="18" t="s">
        <v>1970</v>
      </c>
      <c r="B655" s="19" t="s">
        <v>1971</v>
      </c>
      <c r="C655" s="19" t="s">
        <v>1972</v>
      </c>
      <c r="D655" s="20">
        <v>2.2671047612499997</v>
      </c>
      <c r="E655" s="20">
        <v>3.8471049122499998</v>
      </c>
      <c r="F655" s="1">
        <v>413.88972837936359</v>
      </c>
      <c r="G655" s="42"/>
      <c r="J655" s="44" t="s">
        <v>187</v>
      </c>
      <c r="K655" s="35">
        <v>2.5999999999999999E-3</v>
      </c>
      <c r="L655" s="35">
        <v>0.10059999999999999</v>
      </c>
      <c r="M655" s="35">
        <v>4.0000000000000002E-4</v>
      </c>
      <c r="N655" s="21"/>
      <c r="P655" s="2" t="s">
        <v>187</v>
      </c>
      <c r="Q655" s="22"/>
      <c r="R655" s="2"/>
      <c r="S655" s="2"/>
      <c r="T655" s="2"/>
      <c r="U655" s="34">
        <f t="shared" si="10"/>
        <v>0.10059999999999999</v>
      </c>
    </row>
    <row r="656" spans="1:21" x14ac:dyDescent="0.2">
      <c r="A656" s="18" t="s">
        <v>1973</v>
      </c>
      <c r="B656" s="19" t="s">
        <v>1974</v>
      </c>
      <c r="C656" s="19" t="s">
        <v>1975</v>
      </c>
      <c r="D656" s="20">
        <v>7.2442864204999999</v>
      </c>
      <c r="E656" s="20">
        <v>19.423000205000001</v>
      </c>
      <c r="F656" s="1">
        <v>0.17471073380304772</v>
      </c>
      <c r="G656" s="42" t="s">
        <v>187</v>
      </c>
      <c r="J656" s="44"/>
      <c r="K656" s="35">
        <v>0.96579999999999999</v>
      </c>
      <c r="L656" s="35">
        <v>1.7399999999999999E-2</v>
      </c>
      <c r="M656" s="35">
        <v>0</v>
      </c>
      <c r="N656" s="21"/>
      <c r="Q656" s="22" t="s">
        <v>187</v>
      </c>
      <c r="R656" s="2"/>
      <c r="S656" s="2"/>
      <c r="T656" s="2"/>
      <c r="U656" s="34">
        <f t="shared" si="10"/>
        <v>0.96579999999999999</v>
      </c>
    </row>
    <row r="657" spans="1:21" x14ac:dyDescent="0.2">
      <c r="A657" s="18" t="s">
        <v>1976</v>
      </c>
      <c r="B657" s="19" t="s">
        <v>1977</v>
      </c>
      <c r="C657" s="19" t="s">
        <v>1978</v>
      </c>
      <c r="D657" s="20">
        <v>6.9727854966666669</v>
      </c>
      <c r="E657" s="20">
        <v>9.5151138599999996</v>
      </c>
      <c r="F657" s="1">
        <v>1.0978507384065357</v>
      </c>
      <c r="G657" s="42" t="s">
        <v>187</v>
      </c>
      <c r="J657" s="44"/>
      <c r="K657" s="35">
        <v>0.94010000000000005</v>
      </c>
      <c r="L657" s="35">
        <v>5.1000000000000004E-3</v>
      </c>
      <c r="M657" s="35">
        <v>0</v>
      </c>
      <c r="N657" s="21"/>
      <c r="Q657" s="22" t="s">
        <v>187</v>
      </c>
      <c r="R657" s="2"/>
      <c r="S657" s="2"/>
      <c r="T657" s="2"/>
      <c r="U657" s="34">
        <f t="shared" si="10"/>
        <v>0.94010000000000005</v>
      </c>
    </row>
    <row r="658" spans="1:21" x14ac:dyDescent="0.2">
      <c r="A658" s="18" t="s">
        <v>1979</v>
      </c>
      <c r="B658" s="19" t="s">
        <v>1980</v>
      </c>
      <c r="C658" s="19" t="s">
        <v>1981</v>
      </c>
      <c r="D658" s="20">
        <v>3.5821712740000002</v>
      </c>
      <c r="E658" s="20">
        <v>25.8033213125</v>
      </c>
      <c r="F658" s="1">
        <v>0.91406306444676699</v>
      </c>
      <c r="G658" s="42" t="s">
        <v>187</v>
      </c>
      <c r="J658" s="44"/>
      <c r="K658" s="35">
        <v>0.35870000000000002</v>
      </c>
      <c r="L658" s="35">
        <v>0.58730000000000004</v>
      </c>
      <c r="M658" s="35">
        <v>0</v>
      </c>
      <c r="N658" s="21"/>
      <c r="Q658" s="22" t="s">
        <v>187</v>
      </c>
      <c r="R658" s="2"/>
      <c r="S658" s="2"/>
      <c r="T658" s="2"/>
      <c r="U658" s="34">
        <f t="shared" si="10"/>
        <v>0.58730000000000004</v>
      </c>
    </row>
    <row r="659" spans="1:21" x14ac:dyDescent="0.2">
      <c r="A659" s="18" t="s">
        <v>1982</v>
      </c>
      <c r="B659" s="19" t="s">
        <v>1983</v>
      </c>
      <c r="C659" s="19" t="s">
        <v>1984</v>
      </c>
      <c r="D659" s="20">
        <v>1.08623748925</v>
      </c>
      <c r="E659" s="20">
        <v>4.0051115639999999</v>
      </c>
      <c r="F659" s="1">
        <v>18.753666237056102</v>
      </c>
      <c r="G659" s="42"/>
      <c r="H659" s="49" t="s">
        <v>187</v>
      </c>
      <c r="J659" s="44"/>
      <c r="K659" s="35">
        <v>0</v>
      </c>
      <c r="L659" s="35">
        <v>0.61899999999999999</v>
      </c>
      <c r="M659" s="35">
        <v>3.2399999999999998E-2</v>
      </c>
      <c r="N659" s="21"/>
      <c r="O659" s="2" t="s">
        <v>187</v>
      </c>
      <c r="Q659" s="22"/>
      <c r="R659" s="2"/>
      <c r="S659" s="2"/>
      <c r="T659" s="2"/>
      <c r="U659" s="34">
        <f t="shared" si="10"/>
        <v>0.61899999999999999</v>
      </c>
    </row>
    <row r="660" spans="1:21" x14ac:dyDescent="0.2">
      <c r="A660" s="18" t="s">
        <v>1985</v>
      </c>
      <c r="B660" s="19" t="s">
        <v>1986</v>
      </c>
      <c r="C660" s="19" t="s">
        <v>1987</v>
      </c>
      <c r="D660" s="20">
        <v>0.25553356300000002</v>
      </c>
      <c r="E660" s="20">
        <v>7.1071234707500004</v>
      </c>
      <c r="F660" s="1">
        <v>1.9496430749414363E-2</v>
      </c>
      <c r="G660" s="42"/>
      <c r="H660" s="43" t="s">
        <v>187</v>
      </c>
      <c r="J660" s="44"/>
      <c r="K660" s="35">
        <v>0</v>
      </c>
      <c r="L660" s="35">
        <v>0.91020000000000001</v>
      </c>
      <c r="M660" s="35">
        <v>1.6799999999999999E-2</v>
      </c>
      <c r="N660" s="21"/>
      <c r="O660" s="2" t="s">
        <v>187</v>
      </c>
      <c r="Q660" s="22"/>
      <c r="R660" s="2"/>
      <c r="S660" s="2"/>
      <c r="T660" s="2"/>
      <c r="U660" s="34">
        <f t="shared" si="10"/>
        <v>0.91020000000000001</v>
      </c>
    </row>
    <row r="661" spans="1:21" x14ac:dyDescent="0.2">
      <c r="A661" s="18" t="s">
        <v>1988</v>
      </c>
      <c r="B661" s="19" t="s">
        <v>1989</v>
      </c>
      <c r="C661" s="19" t="s">
        <v>1990</v>
      </c>
      <c r="D661" s="20">
        <v>1.0599507969999999</v>
      </c>
      <c r="E661" s="20">
        <v>9.6380217257500007</v>
      </c>
      <c r="F661" s="1">
        <v>5.5670786498639142</v>
      </c>
      <c r="G661" s="42"/>
      <c r="H661" s="43" t="s">
        <v>187</v>
      </c>
      <c r="J661" s="44"/>
      <c r="K661" s="35">
        <v>5.0000000000000001E-4</v>
      </c>
      <c r="L661" s="35">
        <v>0.96640000000000004</v>
      </c>
      <c r="M661" s="35">
        <v>5.0000000000000001E-4</v>
      </c>
      <c r="N661" s="21"/>
      <c r="O661" s="2" t="s">
        <v>187</v>
      </c>
      <c r="Q661" s="22"/>
      <c r="R661" s="2"/>
      <c r="S661" s="2"/>
      <c r="T661" s="2"/>
      <c r="U661" s="34">
        <f t="shared" si="10"/>
        <v>0.96640000000000004</v>
      </c>
    </row>
    <row r="662" spans="1:21" x14ac:dyDescent="0.2">
      <c r="A662" s="18" t="s">
        <v>1991</v>
      </c>
      <c r="B662" s="19" t="s">
        <v>1992</v>
      </c>
      <c r="C662" s="19" t="s">
        <v>1993</v>
      </c>
      <c r="D662" s="20">
        <v>2.9006803864999999</v>
      </c>
      <c r="E662" s="20">
        <v>12.297211072250001</v>
      </c>
      <c r="F662" s="1">
        <v>0.49897260557510487</v>
      </c>
      <c r="G662" s="42" t="s">
        <v>187</v>
      </c>
      <c r="J662" s="44"/>
      <c r="K662" s="35">
        <v>0.35749999999999998</v>
      </c>
      <c r="L662" s="35">
        <v>0.56840000000000002</v>
      </c>
      <c r="M662" s="35">
        <v>0</v>
      </c>
      <c r="N662" s="21"/>
      <c r="P662" s="2" t="s">
        <v>187</v>
      </c>
      <c r="Q662" s="22"/>
      <c r="R662" s="2"/>
      <c r="S662" s="2"/>
      <c r="T662" s="2"/>
      <c r="U662" s="34">
        <f t="shared" si="10"/>
        <v>0.56840000000000002</v>
      </c>
    </row>
    <row r="663" spans="1:21" x14ac:dyDescent="0.2">
      <c r="A663" s="18" t="s">
        <v>1994</v>
      </c>
      <c r="B663" s="19" t="s">
        <v>1995</v>
      </c>
      <c r="C663" s="19" t="s">
        <v>1996</v>
      </c>
      <c r="D663" s="20">
        <v>1.7766589719999999</v>
      </c>
      <c r="E663" s="20">
        <v>6.3157364282500001</v>
      </c>
      <c r="F663" s="1">
        <v>0.53831811569219612</v>
      </c>
      <c r="G663" s="42"/>
      <c r="J663" s="44" t="s">
        <v>187</v>
      </c>
      <c r="K663" s="35">
        <v>0.01</v>
      </c>
      <c r="L663" s="35">
        <v>0.77329999999999999</v>
      </c>
      <c r="M663" s="35">
        <v>2.9999999999999997E-4</v>
      </c>
      <c r="N663" s="21"/>
      <c r="Q663" s="22"/>
      <c r="R663" s="2"/>
      <c r="S663" s="2"/>
      <c r="T663" s="2"/>
      <c r="U663" s="34">
        <f t="shared" si="10"/>
        <v>0.77329999999999999</v>
      </c>
    </row>
    <row r="664" spans="1:21" x14ac:dyDescent="0.2">
      <c r="A664" s="18" t="s">
        <v>1997</v>
      </c>
      <c r="B664" s="19" t="s">
        <v>1998</v>
      </c>
      <c r="C664" s="19" t="s">
        <v>1999</v>
      </c>
      <c r="D664" s="20">
        <v>3.7848795547499998</v>
      </c>
      <c r="E664" s="20">
        <v>15.104162322499999</v>
      </c>
      <c r="F664" s="1">
        <v>0.58904109923774839</v>
      </c>
      <c r="G664" s="42" t="s">
        <v>187</v>
      </c>
      <c r="J664" s="44"/>
      <c r="K664" s="35">
        <v>0.69199999999999995</v>
      </c>
      <c r="L664" s="35">
        <v>0.26190000000000002</v>
      </c>
      <c r="M664" s="35">
        <v>0</v>
      </c>
      <c r="N664" s="21"/>
      <c r="Q664" s="22" t="s">
        <v>187</v>
      </c>
      <c r="R664" s="2"/>
      <c r="S664" s="2"/>
      <c r="T664" s="2"/>
      <c r="U664" s="34">
        <f t="shared" si="10"/>
        <v>0.69199999999999995</v>
      </c>
    </row>
    <row r="665" spans="1:21" x14ac:dyDescent="0.2">
      <c r="A665" s="18" t="s">
        <v>2000</v>
      </c>
      <c r="B665" s="19" t="s">
        <v>2001</v>
      </c>
      <c r="C665" s="19" t="s">
        <v>2002</v>
      </c>
      <c r="D665" s="20">
        <v>1.080157507</v>
      </c>
      <c r="E665" s="20">
        <v>1.9286169064999998</v>
      </c>
      <c r="F665" s="1">
        <v>8.1426269600552978E-2</v>
      </c>
      <c r="G665" s="42"/>
      <c r="J665" s="44" t="s">
        <v>187</v>
      </c>
      <c r="K665" s="35">
        <v>0</v>
      </c>
      <c r="L665" s="35">
        <v>1.3899999999999999E-2</v>
      </c>
      <c r="M665" s="35">
        <v>0.21859999999999999</v>
      </c>
      <c r="N665" s="21"/>
      <c r="Q665" s="22"/>
      <c r="R665" s="2"/>
      <c r="S665" s="2"/>
      <c r="T665" s="2"/>
      <c r="U665" s="34">
        <f t="shared" si="10"/>
        <v>0.21859999999999999</v>
      </c>
    </row>
    <row r="666" spans="1:21" x14ac:dyDescent="0.2">
      <c r="A666" s="18" t="s">
        <v>2004</v>
      </c>
      <c r="B666" s="19" t="s">
        <v>2005</v>
      </c>
      <c r="C666" s="19" t="s">
        <v>2006</v>
      </c>
      <c r="D666" s="20">
        <v>0.40789817699999997</v>
      </c>
      <c r="E666" s="20">
        <v>0.23237623775000002</v>
      </c>
      <c r="F666" s="1">
        <v>0</v>
      </c>
      <c r="G666" s="42"/>
      <c r="I666" s="43" t="s">
        <v>187</v>
      </c>
      <c r="J666" s="44"/>
      <c r="K666" s="35">
        <v>0</v>
      </c>
      <c r="L666" s="35">
        <v>0</v>
      </c>
      <c r="M666" s="35">
        <v>0.9657</v>
      </c>
      <c r="N666" s="21" t="s">
        <v>187</v>
      </c>
      <c r="Q666" s="22"/>
      <c r="R666" s="2"/>
      <c r="S666" s="2"/>
      <c r="T666" s="2"/>
      <c r="U666" s="34">
        <f t="shared" si="10"/>
        <v>0.9657</v>
      </c>
    </row>
    <row r="667" spans="1:21" x14ac:dyDescent="0.2">
      <c r="A667" s="18" t="s">
        <v>2007</v>
      </c>
      <c r="B667" s="19" t="s">
        <v>2008</v>
      </c>
      <c r="C667" s="19" t="s">
        <v>2009</v>
      </c>
      <c r="D667" s="20">
        <v>1.2158500000000001</v>
      </c>
      <c r="E667" s="20">
        <v>1.8159000000000001</v>
      </c>
      <c r="F667" s="1">
        <v>0</v>
      </c>
      <c r="G667" s="42"/>
      <c r="J667" s="44" t="s">
        <v>187</v>
      </c>
      <c r="K667" s="35">
        <v>0</v>
      </c>
      <c r="L667" s="35">
        <v>6.0000000000000001E-3</v>
      </c>
      <c r="M667" s="35">
        <v>0.12989999999999999</v>
      </c>
      <c r="N667" s="21"/>
      <c r="Q667" s="22"/>
      <c r="R667" s="2"/>
      <c r="S667" s="2"/>
      <c r="T667" s="2"/>
      <c r="U667" s="34">
        <f t="shared" si="10"/>
        <v>0.12989999999999999</v>
      </c>
    </row>
    <row r="668" spans="1:21" x14ac:dyDescent="0.2">
      <c r="A668" s="18" t="s">
        <v>2010</v>
      </c>
      <c r="B668" s="19" t="s">
        <v>2011</v>
      </c>
      <c r="C668" s="19" t="s">
        <v>2012</v>
      </c>
      <c r="D668" s="20">
        <v>3.5538856330000002</v>
      </c>
      <c r="E668" s="20">
        <v>2.1116000000000001</v>
      </c>
      <c r="F668" s="1">
        <v>0.83054794992513903</v>
      </c>
      <c r="G668" s="42"/>
      <c r="J668" s="44" t="s">
        <v>187</v>
      </c>
      <c r="K668" s="35">
        <v>0</v>
      </c>
      <c r="L668" s="35">
        <v>1E-4</v>
      </c>
      <c r="M668" s="35">
        <v>0</v>
      </c>
      <c r="N668" s="21"/>
      <c r="Q668" s="22"/>
      <c r="R668" s="2"/>
      <c r="S668" s="2"/>
      <c r="T668" s="2"/>
      <c r="U668" s="34">
        <f t="shared" si="10"/>
        <v>1E-4</v>
      </c>
    </row>
    <row r="669" spans="1:21" x14ac:dyDescent="0.2">
      <c r="A669" s="18" t="s">
        <v>2014</v>
      </c>
      <c r="B669" s="19" t="s">
        <v>2015</v>
      </c>
      <c r="C669" s="19" t="s">
        <v>2016</v>
      </c>
      <c r="D669" s="20">
        <v>1.6717</v>
      </c>
      <c r="E669" s="20">
        <v>5.032</v>
      </c>
      <c r="F669" s="1">
        <v>0</v>
      </c>
      <c r="G669" s="42"/>
      <c r="J669" s="44" t="s">
        <v>187</v>
      </c>
      <c r="K669" s="35">
        <v>2.8999999999999998E-3</v>
      </c>
      <c r="L669" s="35">
        <v>0.60840000000000005</v>
      </c>
      <c r="M669" s="35">
        <v>1.4E-3</v>
      </c>
      <c r="N669" s="21"/>
      <c r="Q669" s="22"/>
      <c r="R669" s="2"/>
      <c r="S669" s="2"/>
      <c r="T669" s="2"/>
      <c r="U669" s="34">
        <f t="shared" si="10"/>
        <v>0.60840000000000005</v>
      </c>
    </row>
    <row r="670" spans="1:21" x14ac:dyDescent="0.2">
      <c r="A670" s="18" t="s">
        <v>2018</v>
      </c>
      <c r="B670" s="19" t="s">
        <v>2019</v>
      </c>
      <c r="C670" s="19" t="s">
        <v>2020</v>
      </c>
      <c r="D670" s="20">
        <v>1.2061845834999998</v>
      </c>
      <c r="E670" s="20">
        <v>8.7552215933333333</v>
      </c>
      <c r="F670" s="1">
        <v>0.17303082290105684</v>
      </c>
      <c r="G670" s="42"/>
      <c r="H670" s="43" t="s">
        <v>187</v>
      </c>
      <c r="J670" s="44"/>
      <c r="K670" s="35">
        <v>1.1999999999999999E-3</v>
      </c>
      <c r="L670" s="35">
        <v>0.95450000000000002</v>
      </c>
      <c r="M670" s="35">
        <v>5.0000000000000001E-4</v>
      </c>
      <c r="N670" s="21"/>
      <c r="O670" s="2" t="s">
        <v>187</v>
      </c>
      <c r="Q670" s="22"/>
      <c r="R670" s="2"/>
      <c r="S670" s="2"/>
      <c r="T670" s="2"/>
      <c r="U670" s="34">
        <f t="shared" si="10"/>
        <v>0.95450000000000002</v>
      </c>
    </row>
    <row r="671" spans="1:21" x14ac:dyDescent="0.2">
      <c r="A671" s="18" t="s">
        <v>2022</v>
      </c>
      <c r="B671" s="19" t="s">
        <v>2023</v>
      </c>
      <c r="C671" s="19" t="s">
        <v>2024</v>
      </c>
      <c r="D671" s="20">
        <v>13.892423035499998</v>
      </c>
      <c r="E671" s="20">
        <v>15.8652014405</v>
      </c>
      <c r="F671" s="1">
        <v>1.2400542307908131</v>
      </c>
      <c r="G671" s="42" t="s">
        <v>187</v>
      </c>
      <c r="J671" s="44"/>
      <c r="K671" s="35">
        <v>0.98380000000000001</v>
      </c>
      <c r="L671" s="35">
        <v>2.9999999999999997E-4</v>
      </c>
      <c r="M671" s="35">
        <v>0</v>
      </c>
      <c r="N671" s="21"/>
      <c r="Q671" s="22" t="s">
        <v>187</v>
      </c>
      <c r="R671" s="2"/>
      <c r="S671" s="2"/>
      <c r="T671" s="2"/>
      <c r="U671" s="34">
        <f t="shared" si="10"/>
        <v>0.98380000000000001</v>
      </c>
    </row>
    <row r="672" spans="1:21" x14ac:dyDescent="0.2">
      <c r="A672" s="18" t="s">
        <v>2025</v>
      </c>
      <c r="B672" s="19" t="s">
        <v>2026</v>
      </c>
      <c r="C672" s="19" t="s">
        <v>2027</v>
      </c>
      <c r="D672" s="20">
        <v>0.38861001250000005</v>
      </c>
      <c r="E672" s="20">
        <v>1.1611564589999999</v>
      </c>
      <c r="F672" s="1">
        <v>0.30500348443646758</v>
      </c>
      <c r="G672" s="42"/>
      <c r="I672" s="43" t="s">
        <v>187</v>
      </c>
      <c r="J672" s="44"/>
      <c r="K672" s="35">
        <v>0</v>
      </c>
      <c r="L672" s="35">
        <v>6.9999999999999999E-4</v>
      </c>
      <c r="M672" s="35">
        <v>0.92449999999999999</v>
      </c>
      <c r="N672" s="21"/>
      <c r="O672" s="2" t="s">
        <v>187</v>
      </c>
      <c r="Q672" s="22"/>
      <c r="R672" s="2"/>
      <c r="S672" s="2"/>
      <c r="T672" s="2"/>
      <c r="U672" s="34">
        <f t="shared" si="10"/>
        <v>0.92449999999999999</v>
      </c>
    </row>
    <row r="673" spans="1:21" x14ac:dyDescent="0.2">
      <c r="A673" s="18" t="s">
        <v>2028</v>
      </c>
      <c r="B673" s="19" t="s">
        <v>2029</v>
      </c>
      <c r="C673" s="19" t="s">
        <v>2030</v>
      </c>
      <c r="D673" s="20">
        <v>2.0369392469999998</v>
      </c>
      <c r="E673" s="20">
        <v>25.798321979999997</v>
      </c>
      <c r="F673" s="1">
        <v>0.70933578184055879</v>
      </c>
      <c r="G673" s="42"/>
      <c r="H673" s="43" t="s">
        <v>187</v>
      </c>
      <c r="J673" s="44"/>
      <c r="K673" s="35">
        <v>2.5700000000000001E-2</v>
      </c>
      <c r="L673" s="35">
        <v>0.93049999999999999</v>
      </c>
      <c r="M673" s="35">
        <v>0</v>
      </c>
      <c r="N673" s="21"/>
      <c r="O673" s="2" t="s">
        <v>187</v>
      </c>
      <c r="Q673" s="22"/>
      <c r="R673" s="2"/>
      <c r="S673" s="2"/>
      <c r="T673" s="2"/>
      <c r="U673" s="34">
        <f t="shared" si="10"/>
        <v>0.93049999999999999</v>
      </c>
    </row>
    <row r="674" spans="1:21" x14ac:dyDescent="0.2">
      <c r="A674" s="18" t="s">
        <v>2031</v>
      </c>
      <c r="B674" s="19" t="s">
        <v>2032</v>
      </c>
      <c r="C674" s="19" t="s">
        <v>2033</v>
      </c>
      <c r="D674" s="20">
        <v>1.3587895010000002</v>
      </c>
      <c r="E674" s="20">
        <v>31.292037902499999</v>
      </c>
      <c r="F674" s="1">
        <v>0.15182059299719758</v>
      </c>
      <c r="G674" s="42"/>
      <c r="H674" s="43" t="s">
        <v>187</v>
      </c>
      <c r="J674" s="44"/>
      <c r="K674" s="35">
        <v>1.6999999999999999E-3</v>
      </c>
      <c r="L674" s="35">
        <v>0.93210000000000004</v>
      </c>
      <c r="M674" s="35">
        <v>0</v>
      </c>
      <c r="N674" s="21"/>
      <c r="O674" s="2" t="s">
        <v>187</v>
      </c>
      <c r="P674" s="2" t="s">
        <v>187</v>
      </c>
      <c r="Q674" s="22"/>
      <c r="R674" s="2"/>
      <c r="S674" s="2"/>
      <c r="T674" s="2"/>
      <c r="U674" s="34">
        <f t="shared" si="10"/>
        <v>0.93210000000000004</v>
      </c>
    </row>
    <row r="675" spans="1:21" x14ac:dyDescent="0.2">
      <c r="A675" s="18" t="s">
        <v>2034</v>
      </c>
      <c r="B675" s="19" t="s">
        <v>2035</v>
      </c>
      <c r="C675" s="19" t="s">
        <v>2036</v>
      </c>
      <c r="D675" s="20">
        <v>0.50039326875000001</v>
      </c>
      <c r="E675" s="20">
        <v>1.5996704495</v>
      </c>
      <c r="F675" s="1">
        <v>0.5254269304284942</v>
      </c>
      <c r="G675" s="42"/>
      <c r="I675" s="43" t="s">
        <v>187</v>
      </c>
      <c r="J675" s="44"/>
      <c r="K675" s="35">
        <v>0</v>
      </c>
      <c r="L675" s="35">
        <v>7.4999999999999997E-3</v>
      </c>
      <c r="M675" s="35">
        <v>0.85489999999999999</v>
      </c>
      <c r="N675" s="21"/>
      <c r="O675" s="2" t="s">
        <v>187</v>
      </c>
      <c r="Q675" s="22"/>
      <c r="R675" s="2"/>
      <c r="S675" s="2"/>
      <c r="T675" s="2"/>
      <c r="U675" s="34">
        <f t="shared" si="10"/>
        <v>0.85489999999999999</v>
      </c>
    </row>
    <row r="676" spans="1:21" x14ac:dyDescent="0.2">
      <c r="A676" s="18" t="s">
        <v>1551</v>
      </c>
      <c r="B676" s="19" t="s">
        <v>2037</v>
      </c>
      <c r="C676" s="19" t="s">
        <v>2038</v>
      </c>
      <c r="D676" s="20">
        <v>0.25245945999999997</v>
      </c>
      <c r="E676" s="20">
        <v>6.4844590499999993E-2</v>
      </c>
      <c r="F676" s="1">
        <v>1.3842465832108313</v>
      </c>
      <c r="G676" s="42"/>
      <c r="I676" s="43" t="s">
        <v>187</v>
      </c>
      <c r="J676" s="44"/>
      <c r="K676" s="35">
        <v>0</v>
      </c>
      <c r="L676" s="35">
        <v>0</v>
      </c>
      <c r="M676" s="35">
        <v>0.94510000000000005</v>
      </c>
      <c r="N676" s="21"/>
      <c r="O676" s="2" t="s">
        <v>187</v>
      </c>
      <c r="Q676" s="22"/>
      <c r="R676" s="2"/>
      <c r="S676" s="2"/>
      <c r="T676" s="2"/>
      <c r="U676" s="34">
        <f t="shared" si="10"/>
        <v>0.94510000000000005</v>
      </c>
    </row>
    <row r="677" spans="1:21" x14ac:dyDescent="0.2">
      <c r="A677" s="18" t="s">
        <v>2039</v>
      </c>
      <c r="B677" s="19" t="s">
        <v>2040</v>
      </c>
      <c r="C677" s="19" t="s">
        <v>2041</v>
      </c>
      <c r="D677" s="23" t="s">
        <v>46</v>
      </c>
      <c r="E677" s="20">
        <v>0.38303464899999995</v>
      </c>
      <c r="F677" s="1" t="s">
        <v>47</v>
      </c>
      <c r="G677" s="42"/>
      <c r="I677" s="49" t="s">
        <v>187</v>
      </c>
      <c r="J677" s="44"/>
      <c r="K677" s="35" t="e">
        <v>#N/A</v>
      </c>
      <c r="L677" s="35" t="e">
        <v>#N/A</v>
      </c>
      <c r="M677" s="35" t="e">
        <v>#N/A</v>
      </c>
      <c r="N677" s="21"/>
      <c r="O677" s="2" t="s">
        <v>187</v>
      </c>
      <c r="Q677" s="22"/>
      <c r="R677" s="2"/>
      <c r="S677" s="2"/>
      <c r="T677" s="2"/>
      <c r="U677" s="34" t="e">
        <f t="shared" si="10"/>
        <v>#N/A</v>
      </c>
    </row>
    <row r="678" spans="1:21" x14ac:dyDescent="0.2">
      <c r="A678" s="18" t="s">
        <v>2042</v>
      </c>
      <c r="B678" s="19" t="s">
        <v>2043</v>
      </c>
      <c r="C678" s="19" t="s">
        <v>2044</v>
      </c>
      <c r="D678" s="20">
        <v>2.5634586964999997</v>
      </c>
      <c r="E678" s="20">
        <v>6.9162619735000002</v>
      </c>
      <c r="F678" s="1">
        <v>0.28249930269562468</v>
      </c>
      <c r="G678" s="42"/>
      <c r="J678" s="44" t="s">
        <v>187</v>
      </c>
      <c r="K678" s="35">
        <v>0.1229</v>
      </c>
      <c r="L678" s="35">
        <v>0.54369999999999996</v>
      </c>
      <c r="M678" s="35">
        <v>0</v>
      </c>
      <c r="N678" s="21"/>
      <c r="Q678" s="22"/>
      <c r="R678" s="2"/>
      <c r="S678" s="2"/>
      <c r="T678" s="2"/>
      <c r="U678" s="34">
        <f t="shared" si="10"/>
        <v>0.54369999999999996</v>
      </c>
    </row>
    <row r="679" spans="1:21" x14ac:dyDescent="0.2">
      <c r="A679" s="18" t="s">
        <v>2045</v>
      </c>
      <c r="B679" s="19" t="s">
        <v>2046</v>
      </c>
      <c r="C679" s="19" t="s">
        <v>2047</v>
      </c>
      <c r="D679" s="20">
        <v>1.6322657036666666</v>
      </c>
      <c r="E679" s="20">
        <v>11.9976212945</v>
      </c>
      <c r="F679" s="1">
        <v>2.1917237567469479</v>
      </c>
      <c r="G679" s="42"/>
      <c r="H679" s="43" t="s">
        <v>187</v>
      </c>
      <c r="J679" s="44"/>
      <c r="K679" s="35">
        <v>1.3299999999999999E-2</v>
      </c>
      <c r="L679" s="35">
        <v>0.94779999999999998</v>
      </c>
      <c r="M679" s="35">
        <v>0</v>
      </c>
      <c r="N679" s="21"/>
      <c r="O679" s="2" t="s">
        <v>187</v>
      </c>
      <c r="Q679" s="22"/>
      <c r="R679" s="2"/>
      <c r="S679" s="2"/>
      <c r="T679" s="2"/>
      <c r="U679" s="34">
        <f t="shared" si="10"/>
        <v>0.94779999999999998</v>
      </c>
    </row>
    <row r="680" spans="1:21" x14ac:dyDescent="0.2">
      <c r="A680" s="18" t="s">
        <v>2048</v>
      </c>
      <c r="B680" s="19" t="s">
        <v>2049</v>
      </c>
      <c r="C680" s="19" t="s">
        <v>2050</v>
      </c>
      <c r="D680" s="20">
        <v>0.25953419625000002</v>
      </c>
      <c r="E680" s="20">
        <v>0.54529396866666668</v>
      </c>
      <c r="F680" s="1">
        <v>1.1270232113616474</v>
      </c>
      <c r="G680" s="42"/>
      <c r="I680" s="43" t="s">
        <v>187</v>
      </c>
      <c r="J680" s="44"/>
      <c r="K680" s="35">
        <v>0</v>
      </c>
      <c r="L680" s="35">
        <v>0</v>
      </c>
      <c r="M680" s="35">
        <v>0.95630000000000004</v>
      </c>
      <c r="N680" s="21"/>
      <c r="O680" s="2" t="s">
        <v>187</v>
      </c>
      <c r="Q680" s="22"/>
      <c r="R680" s="2"/>
      <c r="S680" s="2"/>
      <c r="T680" s="2"/>
      <c r="U680" s="34">
        <f t="shared" si="10"/>
        <v>0.95630000000000004</v>
      </c>
    </row>
    <row r="681" spans="1:21" x14ac:dyDescent="0.2">
      <c r="A681" s="18" t="s">
        <v>2051</v>
      </c>
      <c r="B681" s="19" t="s">
        <v>2052</v>
      </c>
      <c r="C681" s="19" t="s">
        <v>2053</v>
      </c>
      <c r="D681" s="20">
        <v>0.35876509475000001</v>
      </c>
      <c r="E681" s="20">
        <v>0.98008337525</v>
      </c>
      <c r="F681" s="1">
        <v>9.7625811657882817</v>
      </c>
      <c r="G681" s="42"/>
      <c r="I681" s="43" t="s">
        <v>187</v>
      </c>
      <c r="J681" s="44"/>
      <c r="K681" s="35">
        <v>0</v>
      </c>
      <c r="L681" s="35">
        <v>2.0000000000000001E-4</v>
      </c>
      <c r="M681" s="35">
        <v>0.93889999999999996</v>
      </c>
      <c r="N681" s="21"/>
      <c r="O681" s="2" t="s">
        <v>187</v>
      </c>
      <c r="Q681" s="22"/>
      <c r="R681" s="2"/>
      <c r="S681" s="2"/>
      <c r="T681" s="2"/>
      <c r="U681" s="34">
        <f t="shared" si="10"/>
        <v>0.93889999999999996</v>
      </c>
    </row>
    <row r="682" spans="1:21" x14ac:dyDescent="0.2">
      <c r="A682" s="18" t="s">
        <v>1580</v>
      </c>
      <c r="B682" s="19" t="s">
        <v>2054</v>
      </c>
      <c r="C682" s="19" t="s">
        <v>2055</v>
      </c>
      <c r="D682" s="20">
        <v>0.12544839050000001</v>
      </c>
      <c r="E682" s="20">
        <v>0.17571000000000001</v>
      </c>
      <c r="F682" s="1">
        <v>0.15680322940680377</v>
      </c>
      <c r="G682" s="42"/>
      <c r="I682" s="43" t="s">
        <v>187</v>
      </c>
      <c r="J682" s="44"/>
      <c r="K682" s="35">
        <v>0</v>
      </c>
      <c r="L682" s="35">
        <v>0</v>
      </c>
      <c r="M682" s="35">
        <v>0.80189999999999995</v>
      </c>
      <c r="N682" s="21"/>
      <c r="O682" s="2" t="s">
        <v>187</v>
      </c>
      <c r="Q682" s="22"/>
      <c r="R682" s="2"/>
      <c r="S682" s="2"/>
      <c r="T682" s="2"/>
      <c r="U682" s="34">
        <f t="shared" si="10"/>
        <v>0.80189999999999995</v>
      </c>
    </row>
    <row r="683" spans="1:21" x14ac:dyDescent="0.2">
      <c r="A683" s="18" t="s">
        <v>2056</v>
      </c>
      <c r="B683" s="19" t="s">
        <v>2057</v>
      </c>
      <c r="C683" s="19" t="s">
        <v>2058</v>
      </c>
      <c r="D683" s="20">
        <v>0.48683468000000002</v>
      </c>
      <c r="E683" s="20">
        <v>0.19284000000000001</v>
      </c>
      <c r="F683" s="1">
        <v>0.46141552773602945</v>
      </c>
      <c r="G683" s="42"/>
      <c r="I683" s="43" t="s">
        <v>187</v>
      </c>
      <c r="J683" s="44"/>
      <c r="K683" s="35">
        <v>0</v>
      </c>
      <c r="L683" s="35">
        <v>0</v>
      </c>
      <c r="M683" s="35">
        <v>0.95089999999999997</v>
      </c>
      <c r="N683" s="21"/>
      <c r="O683" s="2" t="s">
        <v>187</v>
      </c>
      <c r="Q683" s="22"/>
      <c r="R683" s="2"/>
      <c r="S683" s="2"/>
      <c r="T683" s="2"/>
      <c r="U683" s="34">
        <f t="shared" si="10"/>
        <v>0.95089999999999997</v>
      </c>
    </row>
    <row r="684" spans="1:21" x14ac:dyDescent="0.2">
      <c r="A684" s="18" t="s">
        <v>2059</v>
      </c>
      <c r="B684" s="19" t="s">
        <v>2060</v>
      </c>
      <c r="C684" s="19" t="s">
        <v>2061</v>
      </c>
      <c r="D684" s="20">
        <v>0.26761439625</v>
      </c>
      <c r="E684" s="20">
        <v>0.25008319649999999</v>
      </c>
      <c r="F684" s="1">
        <v>0.60255439504418595</v>
      </c>
      <c r="G684" s="42"/>
      <c r="I684" s="43" t="s">
        <v>187</v>
      </c>
      <c r="J684" s="44"/>
      <c r="K684" s="35">
        <v>0</v>
      </c>
      <c r="L684" s="35">
        <v>0</v>
      </c>
      <c r="M684" s="35">
        <v>0.96919999999999995</v>
      </c>
      <c r="N684" s="21"/>
      <c r="O684" s="2" t="s">
        <v>187</v>
      </c>
      <c r="Q684" s="22"/>
      <c r="R684" s="2"/>
      <c r="S684" s="2"/>
      <c r="T684" s="2"/>
      <c r="U684" s="34">
        <f t="shared" si="10"/>
        <v>0.96919999999999995</v>
      </c>
    </row>
    <row r="685" spans="1:21" x14ac:dyDescent="0.2">
      <c r="A685" s="18" t="s">
        <v>2062</v>
      </c>
      <c r="B685" s="19" t="s">
        <v>2063</v>
      </c>
      <c r="C685" s="19" t="s">
        <v>2064</v>
      </c>
      <c r="D685" s="20">
        <v>0.19730695349999999</v>
      </c>
      <c r="E685" s="20">
        <v>9.6066665750000002E-2</v>
      </c>
      <c r="F685" s="1">
        <v>0.20616438473327547</v>
      </c>
      <c r="G685" s="42"/>
      <c r="I685" s="43" t="s">
        <v>187</v>
      </c>
      <c r="J685" s="44"/>
      <c r="K685" s="35">
        <v>0</v>
      </c>
      <c r="L685" s="35">
        <v>0</v>
      </c>
      <c r="M685" s="35">
        <v>0.94279999999999997</v>
      </c>
      <c r="N685" s="21"/>
      <c r="O685" s="2" t="s">
        <v>187</v>
      </c>
      <c r="Q685" s="22"/>
      <c r="R685" s="2"/>
      <c r="S685" s="2"/>
      <c r="T685" s="2"/>
      <c r="U685" s="34">
        <f t="shared" si="10"/>
        <v>0.94279999999999997</v>
      </c>
    </row>
    <row r="686" spans="1:21" x14ac:dyDescent="0.2">
      <c r="A686" s="18" t="s">
        <v>1464</v>
      </c>
      <c r="B686" s="19" t="s">
        <v>2065</v>
      </c>
      <c r="C686" s="19" t="s">
        <v>2066</v>
      </c>
      <c r="D686" s="20">
        <v>0.2260445005</v>
      </c>
      <c r="E686" s="20">
        <v>0.31928298166666669</v>
      </c>
      <c r="F686" s="1">
        <v>0.81145671218063153</v>
      </c>
      <c r="G686" s="42"/>
      <c r="I686" s="43" t="s">
        <v>187</v>
      </c>
      <c r="J686" s="44"/>
      <c r="K686" s="35">
        <v>0</v>
      </c>
      <c r="L686" s="35">
        <v>0</v>
      </c>
      <c r="M686" s="35">
        <v>0.95950000000000002</v>
      </c>
      <c r="N686" s="21"/>
      <c r="O686" s="2" t="s">
        <v>187</v>
      </c>
      <c r="Q686" s="22"/>
      <c r="R686" s="2"/>
      <c r="S686" s="2"/>
      <c r="T686" s="2"/>
      <c r="U686" s="34">
        <f t="shared" si="10"/>
        <v>0.95950000000000002</v>
      </c>
    </row>
    <row r="687" spans="1:21" x14ac:dyDescent="0.2">
      <c r="A687" s="18" t="s">
        <v>2067</v>
      </c>
      <c r="B687" s="19" t="s">
        <v>2068</v>
      </c>
      <c r="C687" s="19" t="s">
        <v>2069</v>
      </c>
      <c r="D687" s="20">
        <v>1.4778275060000001</v>
      </c>
      <c r="E687" s="20">
        <v>3.8039533203333336</v>
      </c>
      <c r="F687" s="1">
        <v>7.0626787912020168</v>
      </c>
      <c r="G687" s="42"/>
      <c r="J687" s="44" t="s">
        <v>187</v>
      </c>
      <c r="K687" s="35">
        <v>2.9999999999999997E-4</v>
      </c>
      <c r="L687" s="35">
        <v>0.34839999999999999</v>
      </c>
      <c r="M687" s="35">
        <v>9.4999999999999998E-3</v>
      </c>
      <c r="N687" s="21"/>
      <c r="Q687" s="22"/>
      <c r="R687" s="2"/>
      <c r="S687" s="2"/>
      <c r="T687" s="2"/>
      <c r="U687" s="34">
        <f t="shared" si="10"/>
        <v>0.34839999999999999</v>
      </c>
    </row>
    <row r="688" spans="1:21" x14ac:dyDescent="0.2">
      <c r="A688" s="18" t="s">
        <v>2071</v>
      </c>
      <c r="B688" s="19" t="s">
        <v>2072</v>
      </c>
      <c r="C688" s="19" t="s">
        <v>2073</v>
      </c>
      <c r="D688" s="20">
        <v>1.04405798475</v>
      </c>
      <c r="E688" s="20">
        <v>6.3923573852500004</v>
      </c>
      <c r="F688" s="1">
        <v>3.7087361286002971</v>
      </c>
      <c r="G688" s="42"/>
      <c r="H688" s="43" t="s">
        <v>187</v>
      </c>
      <c r="J688" s="44"/>
      <c r="K688" s="35">
        <v>2.0000000000000001E-4</v>
      </c>
      <c r="L688" s="35">
        <v>0.92069999999999996</v>
      </c>
      <c r="M688" s="35">
        <v>3.3999999999999998E-3</v>
      </c>
      <c r="N688" s="21" t="s">
        <v>187</v>
      </c>
      <c r="Q688" s="22"/>
      <c r="R688" s="2"/>
      <c r="S688" s="2"/>
      <c r="T688" s="2"/>
      <c r="U688" s="34">
        <f t="shared" si="10"/>
        <v>0.92069999999999996</v>
      </c>
    </row>
    <row r="689" spans="1:21" x14ac:dyDescent="0.2">
      <c r="A689" s="18" t="s">
        <v>2074</v>
      </c>
      <c r="B689" s="19" t="s">
        <v>2075</v>
      </c>
      <c r="C689" s="19" t="s">
        <v>2076</v>
      </c>
      <c r="D689" s="20">
        <v>9.1200967760000005</v>
      </c>
      <c r="E689" s="20">
        <v>34.806026577499999</v>
      </c>
      <c r="F689" s="1">
        <v>0.18876089771042809</v>
      </c>
      <c r="G689" s="42" t="s">
        <v>187</v>
      </c>
      <c r="J689" s="44"/>
      <c r="K689" s="35">
        <v>0.89100000000000001</v>
      </c>
      <c r="L689" s="35">
        <v>5.4199999999999998E-2</v>
      </c>
      <c r="M689" s="35">
        <v>0</v>
      </c>
      <c r="N689" s="21"/>
      <c r="Q689" s="22" t="s">
        <v>187</v>
      </c>
      <c r="R689" s="2"/>
      <c r="S689" s="2"/>
      <c r="T689" s="2"/>
      <c r="U689" s="34">
        <f t="shared" si="10"/>
        <v>0.89100000000000001</v>
      </c>
    </row>
    <row r="690" spans="1:21" x14ac:dyDescent="0.2">
      <c r="A690" s="18" t="s">
        <v>2077</v>
      </c>
      <c r="B690" s="19" t="s">
        <v>2078</v>
      </c>
      <c r="C690" s="19" t="s">
        <v>2079</v>
      </c>
      <c r="D690" s="20">
        <v>2.0337051344999999</v>
      </c>
      <c r="E690" s="20">
        <v>8.1218726713333336</v>
      </c>
      <c r="F690" s="1">
        <v>0.24224315206155811</v>
      </c>
      <c r="G690" s="42"/>
      <c r="H690" s="43" t="s">
        <v>187</v>
      </c>
      <c r="J690" s="44"/>
      <c r="K690" s="35">
        <v>4.2000000000000003E-2</v>
      </c>
      <c r="L690" s="35">
        <v>0.82469999999999999</v>
      </c>
      <c r="M690" s="35">
        <v>0</v>
      </c>
      <c r="N690" s="21"/>
      <c r="O690" s="2" t="s">
        <v>187</v>
      </c>
      <c r="Q690" s="22"/>
      <c r="R690" s="2"/>
      <c r="S690" s="2"/>
      <c r="T690" s="2"/>
      <c r="U690" s="34">
        <f t="shared" si="10"/>
        <v>0.82469999999999999</v>
      </c>
    </row>
    <row r="691" spans="1:21" x14ac:dyDescent="0.2">
      <c r="A691" s="18" t="s">
        <v>2080</v>
      </c>
      <c r="B691" s="19" t="s">
        <v>2081</v>
      </c>
      <c r="C691" s="19" t="s">
        <v>2082</v>
      </c>
      <c r="D691" s="20">
        <v>1.1111609386666668</v>
      </c>
      <c r="E691" s="20">
        <v>4.6608576384999996</v>
      </c>
      <c r="F691" s="1">
        <v>0.65572259570154778</v>
      </c>
      <c r="G691" s="42"/>
      <c r="H691" s="49" t="s">
        <v>187</v>
      </c>
      <c r="J691" s="44"/>
      <c r="K691" s="35">
        <v>1E-4</v>
      </c>
      <c r="L691" s="35">
        <v>0.76080000000000003</v>
      </c>
      <c r="M691" s="35">
        <v>1.4E-2</v>
      </c>
      <c r="N691" s="21"/>
      <c r="O691" s="2" t="s">
        <v>187</v>
      </c>
      <c r="Q691" s="22"/>
      <c r="R691" s="2"/>
      <c r="S691" s="2"/>
      <c r="T691" s="2"/>
      <c r="U691" s="34">
        <f t="shared" si="10"/>
        <v>0.76080000000000003</v>
      </c>
    </row>
    <row r="692" spans="1:21" x14ac:dyDescent="0.2">
      <c r="A692" s="18" t="s">
        <v>2083</v>
      </c>
      <c r="B692" s="19" t="s">
        <v>2084</v>
      </c>
      <c r="C692" s="19" t="s">
        <v>2085</v>
      </c>
      <c r="D692" s="20">
        <v>2.3548999999999998</v>
      </c>
      <c r="E692" s="20">
        <v>7.0698432236666662</v>
      </c>
      <c r="F692" s="1" t="s">
        <v>47</v>
      </c>
      <c r="G692" s="42"/>
      <c r="J692" s="44" t="s">
        <v>187</v>
      </c>
      <c r="K692" s="35">
        <v>8.1299999999999997E-2</v>
      </c>
      <c r="L692" s="35">
        <v>0.64759999999999995</v>
      </c>
      <c r="M692" s="35">
        <v>0</v>
      </c>
      <c r="N692" s="21"/>
      <c r="Q692" s="22"/>
      <c r="R692" s="2"/>
      <c r="S692" s="2"/>
      <c r="T692" s="2"/>
      <c r="U692" s="34">
        <f t="shared" si="10"/>
        <v>0.64759999999999995</v>
      </c>
    </row>
    <row r="693" spans="1:21" x14ac:dyDescent="0.2">
      <c r="A693" s="18" t="s">
        <v>2087</v>
      </c>
      <c r="B693" s="19" t="s">
        <v>2088</v>
      </c>
      <c r="C693" s="19" t="s">
        <v>2089</v>
      </c>
      <c r="D693" s="20">
        <v>0.35105094575000001</v>
      </c>
      <c r="E693" s="20">
        <v>0.60501942249999996</v>
      </c>
      <c r="F693" s="1">
        <v>0.98874755943518422</v>
      </c>
      <c r="G693" s="42"/>
      <c r="I693" s="43" t="s">
        <v>187</v>
      </c>
      <c r="J693" s="44"/>
      <c r="K693" s="35">
        <v>0</v>
      </c>
      <c r="L693" s="35">
        <v>0</v>
      </c>
      <c r="M693" s="35">
        <v>0.95979999999999999</v>
      </c>
      <c r="N693" s="21" t="s">
        <v>187</v>
      </c>
      <c r="Q693" s="22"/>
      <c r="R693" s="2"/>
      <c r="S693" s="2"/>
      <c r="T693" s="2"/>
      <c r="U693" s="34">
        <f t="shared" si="10"/>
        <v>0.95979999999999999</v>
      </c>
    </row>
    <row r="694" spans="1:21" x14ac:dyDescent="0.2">
      <c r="A694" s="18" t="s">
        <v>2090</v>
      </c>
      <c r="B694" s="19" t="s">
        <v>2091</v>
      </c>
      <c r="C694" s="19" t="s">
        <v>2092</v>
      </c>
      <c r="D694" s="20">
        <v>0.40945448633333337</v>
      </c>
      <c r="E694" s="20">
        <v>0.651194791</v>
      </c>
      <c r="F694" s="1">
        <v>0.34677637272680428</v>
      </c>
      <c r="G694" s="42"/>
      <c r="I694" s="43" t="s">
        <v>187</v>
      </c>
      <c r="J694" s="44"/>
      <c r="K694" s="35">
        <v>0</v>
      </c>
      <c r="L694" s="35">
        <v>0</v>
      </c>
      <c r="M694" s="35">
        <v>0.9536</v>
      </c>
      <c r="N694" s="21"/>
      <c r="O694" s="2" t="s">
        <v>187</v>
      </c>
      <c r="Q694" s="22"/>
      <c r="R694" s="2"/>
      <c r="S694" s="2"/>
      <c r="T694" s="2"/>
      <c r="U694" s="34">
        <f t="shared" si="10"/>
        <v>0.9536</v>
      </c>
    </row>
    <row r="695" spans="1:21" x14ac:dyDescent="0.2">
      <c r="A695" s="18" t="s">
        <v>2021</v>
      </c>
      <c r="B695" s="19" t="s">
        <v>2093</v>
      </c>
      <c r="C695" s="19" t="s">
        <v>2094</v>
      </c>
      <c r="D695" s="20">
        <v>0.18146111625</v>
      </c>
      <c r="E695" s="20">
        <v>1.259468673</v>
      </c>
      <c r="F695" s="1">
        <v>0.51521061090830866</v>
      </c>
      <c r="G695" s="42"/>
      <c r="I695" s="43" t="s">
        <v>187</v>
      </c>
      <c r="J695" s="44"/>
      <c r="K695" s="35">
        <v>0</v>
      </c>
      <c r="L695" s="35">
        <v>1.21E-2</v>
      </c>
      <c r="M695" s="35">
        <v>0.77129999999999999</v>
      </c>
      <c r="N695" s="21"/>
      <c r="O695" s="2" t="s">
        <v>187</v>
      </c>
      <c r="Q695" s="22"/>
      <c r="R695" s="2"/>
      <c r="S695" s="2"/>
      <c r="T695" s="2"/>
      <c r="U695" s="34">
        <f t="shared" si="10"/>
        <v>0.77129999999999999</v>
      </c>
    </row>
    <row r="696" spans="1:21" x14ac:dyDescent="0.2">
      <c r="A696" s="18" t="s">
        <v>2095</v>
      </c>
      <c r="B696" s="19" t="s">
        <v>2096</v>
      </c>
      <c r="C696" s="19" t="s">
        <v>2097</v>
      </c>
      <c r="D696" s="20">
        <v>0.83548247750000004</v>
      </c>
      <c r="E696" s="20">
        <v>1.3818696185000001</v>
      </c>
      <c r="F696" s="1">
        <v>2.5661451581771706</v>
      </c>
      <c r="G696" s="42"/>
      <c r="I696" s="43" t="s">
        <v>187</v>
      </c>
      <c r="J696" s="44"/>
      <c r="K696" s="35">
        <v>0</v>
      </c>
      <c r="L696" s="35">
        <v>1.2999999999999999E-3</v>
      </c>
      <c r="M696" s="35">
        <v>0.60219999999999996</v>
      </c>
      <c r="N696" s="21"/>
      <c r="O696" s="2" t="s">
        <v>187</v>
      </c>
      <c r="Q696" s="22"/>
      <c r="R696" s="2"/>
      <c r="S696" s="2"/>
      <c r="T696" s="2"/>
      <c r="U696" s="34">
        <f t="shared" si="10"/>
        <v>0.60219999999999996</v>
      </c>
    </row>
    <row r="697" spans="1:21" x14ac:dyDescent="0.2">
      <c r="A697" s="18" t="s">
        <v>2098</v>
      </c>
      <c r="B697" s="19" t="s">
        <v>2099</v>
      </c>
      <c r="C697" s="19" t="s">
        <v>2100</v>
      </c>
      <c r="D697" s="20">
        <v>4.363192111</v>
      </c>
      <c r="E697" s="23" t="s">
        <v>46</v>
      </c>
      <c r="F697" s="1" t="s">
        <v>47</v>
      </c>
      <c r="G697" s="24" t="s">
        <v>187</v>
      </c>
      <c r="J697" s="44"/>
      <c r="K697" s="35" t="e">
        <v>#N/A</v>
      </c>
      <c r="L697" s="35" t="e">
        <v>#N/A</v>
      </c>
      <c r="M697" s="35" t="e">
        <v>#N/A</v>
      </c>
      <c r="N697" s="21"/>
      <c r="P697" s="2" t="s">
        <v>187</v>
      </c>
      <c r="Q697" s="22"/>
      <c r="R697" s="2"/>
      <c r="S697" s="2"/>
      <c r="T697" s="2"/>
      <c r="U697" s="34" t="e">
        <f t="shared" si="10"/>
        <v>#N/A</v>
      </c>
    </row>
    <row r="698" spans="1:21" x14ac:dyDescent="0.2">
      <c r="A698" s="18" t="s">
        <v>2101</v>
      </c>
      <c r="B698" s="19" t="s">
        <v>2102</v>
      </c>
      <c r="C698" s="19" t="s">
        <v>2103</v>
      </c>
      <c r="D698" s="20">
        <v>2.2442000000000002</v>
      </c>
      <c r="E698" s="20" t="s">
        <v>180</v>
      </c>
      <c r="F698" s="1">
        <v>76.133562076528506</v>
      </c>
      <c r="G698" s="42" t="s">
        <v>187</v>
      </c>
      <c r="J698" s="44"/>
      <c r="K698" s="35" t="e">
        <v>#N/A</v>
      </c>
      <c r="L698" s="35" t="e">
        <v>#N/A</v>
      </c>
      <c r="M698" s="35" t="e">
        <v>#N/A</v>
      </c>
      <c r="N698" s="21"/>
      <c r="P698" s="2" t="s">
        <v>187</v>
      </c>
      <c r="Q698" s="22"/>
      <c r="R698" s="2"/>
      <c r="S698" s="2"/>
      <c r="T698" s="2"/>
      <c r="U698" s="34" t="e">
        <f t="shared" si="10"/>
        <v>#N/A</v>
      </c>
    </row>
    <row r="699" spans="1:21" x14ac:dyDescent="0.2">
      <c r="A699" s="18" t="s">
        <v>2104</v>
      </c>
      <c r="B699" s="19" t="s">
        <v>2105</v>
      </c>
      <c r="C699" s="19" t="s">
        <v>2106</v>
      </c>
      <c r="D699" s="20">
        <v>24.219772840000001</v>
      </c>
      <c r="E699" s="20">
        <v>20.445294709999999</v>
      </c>
      <c r="F699" s="1">
        <v>0.69212329160498676</v>
      </c>
      <c r="G699" s="42" t="s">
        <v>187</v>
      </c>
      <c r="J699" s="44"/>
      <c r="K699" s="35">
        <v>0.96460000000000001</v>
      </c>
      <c r="L699" s="35">
        <v>1E-4</v>
      </c>
      <c r="M699" s="35">
        <v>0</v>
      </c>
      <c r="N699" s="21"/>
      <c r="Q699" s="22" t="s">
        <v>187</v>
      </c>
      <c r="R699" s="2"/>
      <c r="S699" s="2"/>
      <c r="T699" s="2"/>
      <c r="U699" s="34">
        <f t="shared" si="10"/>
        <v>0.96460000000000001</v>
      </c>
    </row>
    <row r="700" spans="1:21" x14ac:dyDescent="0.2">
      <c r="A700" s="18" t="s">
        <v>1530</v>
      </c>
      <c r="B700" s="19" t="s">
        <v>2107</v>
      </c>
      <c r="C700" s="19" t="s">
        <v>2108</v>
      </c>
      <c r="D700" s="20">
        <v>0.19776811450000001</v>
      </c>
      <c r="E700" s="20">
        <v>9.233770333333334E-2</v>
      </c>
      <c r="F700" s="1">
        <v>0.2106462191839204</v>
      </c>
      <c r="G700" s="42"/>
      <c r="I700" s="43" t="s">
        <v>187</v>
      </c>
      <c r="J700" s="44"/>
      <c r="K700" s="35">
        <v>0</v>
      </c>
      <c r="L700" s="35">
        <v>0</v>
      </c>
      <c r="M700" s="35">
        <v>0.94189999999999996</v>
      </c>
      <c r="N700" s="21"/>
      <c r="O700" s="2" t="s">
        <v>187</v>
      </c>
      <c r="Q700" s="22"/>
      <c r="R700" s="2"/>
      <c r="S700" s="2"/>
      <c r="T700" s="2"/>
      <c r="U700" s="34">
        <f t="shared" si="10"/>
        <v>0.94189999999999996</v>
      </c>
    </row>
    <row r="701" spans="1:21" x14ac:dyDescent="0.2">
      <c r="A701" s="18" t="s">
        <v>2109</v>
      </c>
      <c r="B701" s="19" t="s">
        <v>2110</v>
      </c>
      <c r="C701" s="19" t="s">
        <v>2111</v>
      </c>
      <c r="D701" s="20">
        <v>0.36446591275000001</v>
      </c>
      <c r="E701" s="20">
        <v>22.939080602500002</v>
      </c>
      <c r="F701" s="1">
        <v>0.19415406621636158</v>
      </c>
      <c r="G701" s="42"/>
      <c r="H701" s="49" t="s">
        <v>187</v>
      </c>
      <c r="J701" s="44"/>
      <c r="K701" s="35">
        <v>0</v>
      </c>
      <c r="L701" s="35">
        <v>0.74750000000000005</v>
      </c>
      <c r="M701" s="35">
        <v>2.5000000000000001E-3</v>
      </c>
      <c r="N701" s="21"/>
      <c r="O701" s="2" t="s">
        <v>187</v>
      </c>
      <c r="Q701" s="22"/>
      <c r="R701" s="2"/>
      <c r="S701" s="2"/>
      <c r="T701" s="2"/>
      <c r="U701" s="34">
        <f t="shared" si="10"/>
        <v>0.74750000000000005</v>
      </c>
    </row>
    <row r="702" spans="1:21" x14ac:dyDescent="0.2">
      <c r="A702" s="18" t="s">
        <v>2112</v>
      </c>
      <c r="B702" s="19" t="s">
        <v>2113</v>
      </c>
      <c r="C702" s="19" t="s">
        <v>2114</v>
      </c>
      <c r="D702" s="20">
        <v>0.52761584449999999</v>
      </c>
      <c r="E702" s="20">
        <v>16.244732097499998</v>
      </c>
      <c r="F702" s="1">
        <v>0.11674368774045737</v>
      </c>
      <c r="G702" s="42"/>
      <c r="H702" s="43" t="s">
        <v>187</v>
      </c>
      <c r="J702" s="44"/>
      <c r="K702" s="35">
        <v>0</v>
      </c>
      <c r="L702" s="35">
        <v>0.95079999999999998</v>
      </c>
      <c r="M702" s="35">
        <v>1.5E-3</v>
      </c>
      <c r="N702" s="21"/>
      <c r="O702" s="2" t="s">
        <v>187</v>
      </c>
      <c r="Q702" s="22"/>
      <c r="R702" s="2"/>
      <c r="S702" s="2"/>
      <c r="T702" s="2"/>
      <c r="U702" s="34">
        <f t="shared" si="10"/>
        <v>0.95079999999999998</v>
      </c>
    </row>
    <row r="703" spans="1:21" x14ac:dyDescent="0.2">
      <c r="A703" s="18" t="s">
        <v>2115</v>
      </c>
      <c r="B703" s="19" t="s">
        <v>2116</v>
      </c>
      <c r="C703" s="19" t="s">
        <v>2117</v>
      </c>
      <c r="D703" s="20">
        <v>1.1403124227500001</v>
      </c>
      <c r="E703" s="20">
        <v>0.80719630050000002</v>
      </c>
      <c r="F703" s="1">
        <v>0.25321583839181516</v>
      </c>
      <c r="G703" s="42"/>
      <c r="J703" s="44" t="s">
        <v>187</v>
      </c>
      <c r="K703" s="35">
        <v>0</v>
      </c>
      <c r="L703" s="35">
        <v>0</v>
      </c>
      <c r="M703" s="35">
        <v>0.30080000000000001</v>
      </c>
      <c r="N703" s="21"/>
      <c r="Q703" s="22"/>
      <c r="R703" s="2"/>
      <c r="S703" s="2"/>
      <c r="T703" s="2"/>
      <c r="U703" s="34">
        <f t="shared" si="10"/>
        <v>0.30080000000000001</v>
      </c>
    </row>
    <row r="704" spans="1:21" x14ac:dyDescent="0.2">
      <c r="A704" s="18" t="s">
        <v>2118</v>
      </c>
      <c r="B704" s="19" t="s">
        <v>2119</v>
      </c>
      <c r="C704" s="19" t="s">
        <v>2120</v>
      </c>
      <c r="D704" s="20">
        <v>0.35249011233333333</v>
      </c>
      <c r="E704" s="20">
        <v>2.4295999999999998</v>
      </c>
      <c r="F704" s="1">
        <v>31.105840633589086</v>
      </c>
      <c r="G704" s="42"/>
      <c r="I704" s="43" t="s">
        <v>187</v>
      </c>
      <c r="J704" s="44"/>
      <c r="K704" s="35">
        <v>0</v>
      </c>
      <c r="L704" s="35">
        <v>0.1827</v>
      </c>
      <c r="M704" s="35">
        <v>0.65810000000000002</v>
      </c>
      <c r="N704" s="21"/>
      <c r="O704" s="2" t="s">
        <v>187</v>
      </c>
      <c r="Q704" s="22"/>
      <c r="R704" s="2"/>
      <c r="S704" s="2"/>
      <c r="T704" s="2"/>
      <c r="U704" s="34">
        <f t="shared" si="10"/>
        <v>0.65810000000000002</v>
      </c>
    </row>
    <row r="705" spans="1:21" x14ac:dyDescent="0.2">
      <c r="A705" s="18" t="s">
        <v>2123</v>
      </c>
      <c r="B705" s="19" t="s">
        <v>2124</v>
      </c>
      <c r="C705" s="19" t="s">
        <v>2125</v>
      </c>
      <c r="D705" s="20">
        <v>0.95685500000000001</v>
      </c>
      <c r="E705" s="20">
        <v>3.7533918850000001</v>
      </c>
      <c r="F705" s="1">
        <v>73.031104096294243</v>
      </c>
      <c r="G705" s="42"/>
      <c r="J705" s="44" t="s">
        <v>187</v>
      </c>
      <c r="K705" s="35">
        <v>0</v>
      </c>
      <c r="L705" s="35">
        <v>0.59630000000000005</v>
      </c>
      <c r="M705" s="35">
        <v>6.7100000000000007E-2</v>
      </c>
      <c r="N705" s="21"/>
      <c r="Q705" s="22"/>
      <c r="R705" s="2"/>
      <c r="S705" s="2"/>
      <c r="T705" s="2"/>
      <c r="U705" s="34">
        <f t="shared" si="10"/>
        <v>0.59630000000000005</v>
      </c>
    </row>
    <row r="706" spans="1:21" x14ac:dyDescent="0.2">
      <c r="A706" s="18" t="s">
        <v>2126</v>
      </c>
      <c r="B706" s="19" t="s">
        <v>2127</v>
      </c>
      <c r="C706" s="19" t="s">
        <v>2128</v>
      </c>
      <c r="D706" s="20">
        <v>5.4611890323333334</v>
      </c>
      <c r="E706" s="20">
        <v>8.9996177900000003</v>
      </c>
      <c r="F706" s="1">
        <v>17.401238383458576</v>
      </c>
      <c r="G706" s="42" t="s">
        <v>187</v>
      </c>
      <c r="J706" s="44"/>
      <c r="K706" s="35">
        <v>0.89</v>
      </c>
      <c r="L706" s="35">
        <v>2.1100000000000001E-2</v>
      </c>
      <c r="M706" s="35">
        <v>0</v>
      </c>
      <c r="N706" s="21"/>
      <c r="Q706" s="22" t="s">
        <v>187</v>
      </c>
      <c r="R706" s="2"/>
      <c r="S706" s="2"/>
      <c r="T706" s="2"/>
      <c r="U706" s="34">
        <f t="shared" ref="U706:U769" si="11">MAX(K706:M706)</f>
        <v>0.89</v>
      </c>
    </row>
    <row r="707" spans="1:21" x14ac:dyDescent="0.2">
      <c r="A707" s="18" t="s">
        <v>2130</v>
      </c>
      <c r="B707" s="19" t="s">
        <v>2131</v>
      </c>
      <c r="C707" s="19" t="s">
        <v>2132</v>
      </c>
      <c r="D707" s="25">
        <v>0.20031941950000001</v>
      </c>
      <c r="E707" s="25">
        <v>3.4049984249999996</v>
      </c>
      <c r="F707" s="1">
        <v>0</v>
      </c>
      <c r="G707" s="42"/>
      <c r="H707" s="49" t="s">
        <v>187</v>
      </c>
      <c r="J707" s="44"/>
      <c r="K707" s="35">
        <v>0</v>
      </c>
      <c r="L707" s="35">
        <v>0.68259999999999998</v>
      </c>
      <c r="M707" s="35">
        <v>0.1351</v>
      </c>
      <c r="N707" s="21"/>
      <c r="O707" s="2" t="s">
        <v>187</v>
      </c>
      <c r="Q707" s="22"/>
      <c r="R707" s="2"/>
      <c r="S707" s="2"/>
      <c r="T707" s="2"/>
      <c r="U707" s="34">
        <f t="shared" si="11"/>
        <v>0.68259999999999998</v>
      </c>
    </row>
    <row r="708" spans="1:21" x14ac:dyDescent="0.2">
      <c r="A708" s="18" t="s">
        <v>2133</v>
      </c>
      <c r="B708" s="19" t="s">
        <v>2134</v>
      </c>
      <c r="C708" s="19" t="s">
        <v>2135</v>
      </c>
      <c r="D708" s="1">
        <v>0.46133052099999999</v>
      </c>
      <c r="E708" s="1">
        <v>3.8878561124999997</v>
      </c>
      <c r="F708" s="1">
        <v>3.1639921901898245E-2</v>
      </c>
      <c r="G708" s="42"/>
      <c r="H708" s="43" t="s">
        <v>187</v>
      </c>
      <c r="J708" s="44"/>
      <c r="K708" s="35">
        <v>0</v>
      </c>
      <c r="L708" s="35">
        <v>0.71430000000000005</v>
      </c>
      <c r="M708" s="35">
        <v>0.1719</v>
      </c>
      <c r="N708" s="21"/>
      <c r="O708" s="2" t="s">
        <v>187</v>
      </c>
      <c r="Q708" s="22"/>
      <c r="R708" s="2"/>
      <c r="S708" s="2"/>
      <c r="T708" s="2"/>
      <c r="U708" s="34">
        <f t="shared" si="11"/>
        <v>0.71430000000000005</v>
      </c>
    </row>
    <row r="709" spans="1:21" x14ac:dyDescent="0.2">
      <c r="A709" s="18" t="s">
        <v>2136</v>
      </c>
      <c r="B709" s="19" t="s">
        <v>2137</v>
      </c>
      <c r="C709" s="19" t="s">
        <v>2138</v>
      </c>
      <c r="D709" s="20">
        <v>1.77148100725</v>
      </c>
      <c r="E709" s="20">
        <v>2.8153999999999999</v>
      </c>
      <c r="F709" s="1">
        <v>4.3489836862021685</v>
      </c>
      <c r="G709" s="42"/>
      <c r="J709" s="44" t="s">
        <v>187</v>
      </c>
      <c r="K709" s="35">
        <v>0</v>
      </c>
      <c r="L709" s="35">
        <v>3.7600000000000001E-2</v>
      </c>
      <c r="M709" s="35">
        <v>5.5999999999999999E-3</v>
      </c>
      <c r="N709" s="21"/>
      <c r="Q709" s="22"/>
      <c r="R709" s="2"/>
      <c r="S709" s="2"/>
      <c r="T709" s="2"/>
      <c r="U709" s="34">
        <f t="shared" si="11"/>
        <v>3.7600000000000001E-2</v>
      </c>
    </row>
    <row r="710" spans="1:21" x14ac:dyDescent="0.2">
      <c r="A710" s="18" t="s">
        <v>2139</v>
      </c>
      <c r="B710" s="19" t="s">
        <v>2140</v>
      </c>
      <c r="C710" s="19" t="s">
        <v>2141</v>
      </c>
      <c r="D710" s="20">
        <v>0.37665458666666668</v>
      </c>
      <c r="E710" s="20">
        <v>0.98236999999999997</v>
      </c>
      <c r="F710" s="1">
        <v>14.52607694644921</v>
      </c>
      <c r="G710" s="42"/>
      <c r="I710" s="43" t="s">
        <v>187</v>
      </c>
      <c r="J710" s="44"/>
      <c r="K710" s="35">
        <v>0</v>
      </c>
      <c r="L710" s="35">
        <v>2.0000000000000001E-4</v>
      </c>
      <c r="M710" s="35">
        <v>0.93789999999999996</v>
      </c>
      <c r="N710" s="21"/>
      <c r="O710" s="2" t="s">
        <v>187</v>
      </c>
      <c r="Q710" s="22"/>
      <c r="R710" s="2"/>
      <c r="S710" s="2"/>
      <c r="T710" s="2"/>
      <c r="U710" s="34">
        <f t="shared" si="11"/>
        <v>0.93789999999999996</v>
      </c>
    </row>
    <row r="711" spans="1:21" x14ac:dyDescent="0.2">
      <c r="A711" s="18" t="s">
        <v>2143</v>
      </c>
      <c r="B711" s="19" t="s">
        <v>2144</v>
      </c>
      <c r="C711" s="19" t="s">
        <v>2145</v>
      </c>
      <c r="D711" s="20">
        <v>0.888368818</v>
      </c>
      <c r="E711" s="20">
        <v>3.9591278686666667</v>
      </c>
      <c r="F711" s="1">
        <v>69.72516934297802</v>
      </c>
      <c r="G711" s="42"/>
      <c r="J711" s="44" t="s">
        <v>187</v>
      </c>
      <c r="K711" s="35">
        <v>0</v>
      </c>
      <c r="L711" s="35">
        <v>0.68259999999999998</v>
      </c>
      <c r="M711" s="35">
        <v>6.4299999999999996E-2</v>
      </c>
      <c r="N711" s="21"/>
      <c r="Q711" s="22"/>
      <c r="R711" s="2"/>
      <c r="S711" s="2"/>
      <c r="T711" s="2"/>
      <c r="U711" s="34">
        <f t="shared" si="11"/>
        <v>0.68259999999999998</v>
      </c>
    </row>
    <row r="712" spans="1:21" x14ac:dyDescent="0.2">
      <c r="A712" s="18" t="s">
        <v>2146</v>
      </c>
      <c r="B712" s="19" t="s">
        <v>2147</v>
      </c>
      <c r="C712" s="19" t="s">
        <v>2148</v>
      </c>
      <c r="D712" s="20">
        <v>4.1159074569999996</v>
      </c>
      <c r="E712" s="20">
        <v>0.156</v>
      </c>
      <c r="F712" s="1">
        <v>11.570771636679044</v>
      </c>
      <c r="G712" s="42"/>
      <c r="J712" s="44" t="s">
        <v>187</v>
      </c>
      <c r="K712" s="35">
        <v>0</v>
      </c>
      <c r="L712" s="35">
        <v>0</v>
      </c>
      <c r="M712" s="35">
        <v>0</v>
      </c>
      <c r="N712" s="21"/>
      <c r="Q712" s="22"/>
      <c r="R712" s="2"/>
      <c r="S712" s="2"/>
      <c r="T712" s="2"/>
      <c r="U712" s="34">
        <f t="shared" si="11"/>
        <v>0</v>
      </c>
    </row>
    <row r="713" spans="1:21" x14ac:dyDescent="0.2">
      <c r="A713" s="18" t="s">
        <v>2149</v>
      </c>
      <c r="B713" s="19" t="s">
        <v>2150</v>
      </c>
      <c r="C713" s="19" t="s">
        <v>2151</v>
      </c>
      <c r="D713" s="20">
        <v>0.3835410145</v>
      </c>
      <c r="E713" s="20">
        <v>3.4163125716666669</v>
      </c>
      <c r="F713" s="1">
        <v>13.809000189739219</v>
      </c>
      <c r="G713" s="42"/>
      <c r="J713" s="44" t="s">
        <v>187</v>
      </c>
      <c r="K713" s="35">
        <v>0</v>
      </c>
      <c r="L713" s="35">
        <v>0.58450000000000002</v>
      </c>
      <c r="M713" s="35">
        <v>0.28410000000000002</v>
      </c>
      <c r="N713" s="21"/>
      <c r="Q713" s="22"/>
      <c r="R713" s="2"/>
      <c r="S713" s="2"/>
      <c r="T713" s="2"/>
      <c r="U713" s="34">
        <f t="shared" si="11"/>
        <v>0.58450000000000002</v>
      </c>
    </row>
    <row r="714" spans="1:21" x14ac:dyDescent="0.2">
      <c r="A714" s="18" t="s">
        <v>2154</v>
      </c>
      <c r="B714" s="19" t="s">
        <v>2155</v>
      </c>
      <c r="C714" s="19" t="s">
        <v>2156</v>
      </c>
      <c r="D714" s="20">
        <v>0.34052227624999998</v>
      </c>
      <c r="E714" s="20">
        <v>1.2541158633333334</v>
      </c>
      <c r="F714" s="1" t="s">
        <v>47</v>
      </c>
      <c r="G714" s="42"/>
      <c r="I714" s="43" t="s">
        <v>187</v>
      </c>
      <c r="J714" s="44"/>
      <c r="K714" s="35">
        <v>0</v>
      </c>
      <c r="L714" s="35">
        <v>1.9E-3</v>
      </c>
      <c r="M714" s="35">
        <v>0.91810000000000003</v>
      </c>
      <c r="N714" s="21"/>
      <c r="O714" s="2" t="s">
        <v>187</v>
      </c>
      <c r="Q714" s="22"/>
      <c r="R714" s="2"/>
      <c r="S714" s="2"/>
      <c r="T714" s="2"/>
      <c r="U714" s="34">
        <f t="shared" si="11"/>
        <v>0.91810000000000003</v>
      </c>
    </row>
    <row r="715" spans="1:21" x14ac:dyDescent="0.2">
      <c r="A715" s="18" t="s">
        <v>2157</v>
      </c>
      <c r="B715" s="19" t="s">
        <v>2158</v>
      </c>
      <c r="C715" s="19" t="s">
        <v>2159</v>
      </c>
      <c r="D715" s="20">
        <v>10.09251108</v>
      </c>
      <c r="E715" s="20">
        <v>14.968251685</v>
      </c>
      <c r="F715" s="1">
        <v>0.46659997186823027</v>
      </c>
      <c r="G715" s="42" t="s">
        <v>187</v>
      </c>
      <c r="J715" s="44"/>
      <c r="K715" s="35">
        <v>0.98370000000000002</v>
      </c>
      <c r="L715" s="35">
        <v>1.5E-3</v>
      </c>
      <c r="M715" s="35">
        <v>0</v>
      </c>
      <c r="N715" s="21"/>
      <c r="Q715" s="22" t="s">
        <v>187</v>
      </c>
      <c r="R715" s="2"/>
      <c r="S715" s="2"/>
      <c r="T715" s="2"/>
      <c r="U715" s="34">
        <f t="shared" si="11"/>
        <v>0.98370000000000002</v>
      </c>
    </row>
    <row r="716" spans="1:21" x14ac:dyDescent="0.2">
      <c r="A716" s="18" t="s">
        <v>2160</v>
      </c>
      <c r="B716" s="19" t="s">
        <v>2161</v>
      </c>
      <c r="C716" s="19" t="s">
        <v>2162</v>
      </c>
      <c r="D716" s="20">
        <v>0.30772071299999998</v>
      </c>
      <c r="E716" s="20">
        <v>3.8778999999999999</v>
      </c>
      <c r="F716" s="1">
        <v>0</v>
      </c>
      <c r="G716" s="42"/>
      <c r="H716" s="49" t="s">
        <v>187</v>
      </c>
      <c r="J716" s="44"/>
      <c r="K716" s="35">
        <v>0</v>
      </c>
      <c r="L716" s="35">
        <v>0.73399999999999999</v>
      </c>
      <c r="M716" s="35">
        <v>0.15770000000000001</v>
      </c>
      <c r="N716" s="21"/>
      <c r="O716" s="2" t="s">
        <v>187</v>
      </c>
      <c r="Q716" s="22"/>
      <c r="R716" s="2"/>
      <c r="S716" s="2"/>
      <c r="T716" s="2"/>
      <c r="U716" s="34">
        <f t="shared" si="11"/>
        <v>0.73399999999999999</v>
      </c>
    </row>
    <row r="717" spans="1:21" x14ac:dyDescent="0.2">
      <c r="A717" s="18" t="s">
        <v>2163</v>
      </c>
      <c r="B717" s="19" t="s">
        <v>2164</v>
      </c>
      <c r="C717" s="19" t="s">
        <v>2165</v>
      </c>
      <c r="D717" s="20">
        <v>0.30035835150000001</v>
      </c>
      <c r="E717" s="20">
        <v>4.2233000000000001</v>
      </c>
      <c r="F717" s="1">
        <v>0.11535388193408452</v>
      </c>
      <c r="G717" s="42"/>
      <c r="H717" s="43" t="s">
        <v>187</v>
      </c>
      <c r="J717" s="44"/>
      <c r="K717" s="35">
        <v>0</v>
      </c>
      <c r="L717" s="35">
        <v>0.79320000000000002</v>
      </c>
      <c r="M717" s="35">
        <v>0.11119999999999999</v>
      </c>
      <c r="N717" s="21"/>
      <c r="O717" s="2" t="s">
        <v>187</v>
      </c>
      <c r="Q717" s="22"/>
      <c r="R717" s="2"/>
      <c r="S717" s="2"/>
      <c r="T717" s="2"/>
      <c r="U717" s="34">
        <f t="shared" si="11"/>
        <v>0.79320000000000002</v>
      </c>
    </row>
    <row r="718" spans="1:21" x14ac:dyDescent="0.2">
      <c r="A718" s="18" t="s">
        <v>2166</v>
      </c>
      <c r="B718" s="19" t="s">
        <v>2167</v>
      </c>
      <c r="C718" s="19" t="s">
        <v>2168</v>
      </c>
      <c r="D718" s="20">
        <v>0.93646569833333337</v>
      </c>
      <c r="E718" s="20">
        <v>8.3087613699999991</v>
      </c>
      <c r="F718" s="1">
        <v>0</v>
      </c>
      <c r="G718" s="42"/>
      <c r="H718" s="43" t="s">
        <v>187</v>
      </c>
      <c r="J718" s="44"/>
      <c r="K718" s="35">
        <v>2.0000000000000001E-4</v>
      </c>
      <c r="L718" s="35">
        <v>0.96140000000000003</v>
      </c>
      <c r="M718" s="35">
        <v>1.5E-3</v>
      </c>
      <c r="N718" s="21"/>
      <c r="O718" s="2" t="s">
        <v>187</v>
      </c>
      <c r="Q718" s="22"/>
      <c r="R718" s="2"/>
      <c r="S718" s="2"/>
      <c r="T718" s="2"/>
      <c r="U718" s="34">
        <f t="shared" si="11"/>
        <v>0.96140000000000003</v>
      </c>
    </row>
    <row r="719" spans="1:21" x14ac:dyDescent="0.2">
      <c r="A719" s="18" t="s">
        <v>2169</v>
      </c>
      <c r="B719" s="19" t="s">
        <v>2170</v>
      </c>
      <c r="C719" s="19" t="s">
        <v>2171</v>
      </c>
      <c r="D719" s="20">
        <v>12.857999031</v>
      </c>
      <c r="E719" s="20">
        <v>4.0832775007500004</v>
      </c>
      <c r="F719" s="1">
        <v>0.53240253200351495</v>
      </c>
      <c r="G719" s="42"/>
      <c r="J719" s="44" t="s">
        <v>187</v>
      </c>
      <c r="K719" s="35">
        <v>3.9399999999999998E-2</v>
      </c>
      <c r="L719" s="35">
        <v>0</v>
      </c>
      <c r="M719" s="35">
        <v>0</v>
      </c>
      <c r="N719" s="21"/>
      <c r="Q719" s="22"/>
      <c r="R719" s="2"/>
      <c r="S719" s="2"/>
      <c r="T719" s="2"/>
      <c r="U719" s="34">
        <f t="shared" si="11"/>
        <v>3.9399999999999998E-2</v>
      </c>
    </row>
    <row r="720" spans="1:21" x14ac:dyDescent="0.2">
      <c r="A720" s="18" t="s">
        <v>2172</v>
      </c>
      <c r="B720" s="19" t="s">
        <v>2173</v>
      </c>
      <c r="C720" s="19" t="s">
        <v>2174</v>
      </c>
      <c r="D720" s="20">
        <v>1.3092362519999998</v>
      </c>
      <c r="E720" s="20">
        <v>15.093639552500001</v>
      </c>
      <c r="F720" s="1">
        <v>0.23070776386820691</v>
      </c>
      <c r="G720" s="42"/>
      <c r="H720" s="43" t="s">
        <v>187</v>
      </c>
      <c r="J720" s="44"/>
      <c r="K720" s="35">
        <v>3.0999999999999999E-3</v>
      </c>
      <c r="L720" s="35">
        <v>0.96989999999999998</v>
      </c>
      <c r="M720" s="35">
        <v>0</v>
      </c>
      <c r="N720" s="21"/>
      <c r="O720" s="2" t="s">
        <v>187</v>
      </c>
      <c r="Q720" s="22"/>
      <c r="R720" s="2"/>
      <c r="S720" s="2"/>
      <c r="T720" s="2"/>
      <c r="U720" s="34">
        <f t="shared" si="11"/>
        <v>0.96989999999999998</v>
      </c>
    </row>
    <row r="721" spans="1:21" x14ac:dyDescent="0.2">
      <c r="A721" s="18" t="s">
        <v>2175</v>
      </c>
      <c r="B721" s="19" t="s">
        <v>2176</v>
      </c>
      <c r="C721" s="19" t="s">
        <v>2177</v>
      </c>
      <c r="D721" s="20">
        <v>2.9797603382500002</v>
      </c>
      <c r="E721" s="20">
        <v>18.642568797500001</v>
      </c>
      <c r="F721" s="1">
        <v>0.57395590035532973</v>
      </c>
      <c r="G721" s="42" t="s">
        <v>187</v>
      </c>
      <c r="J721" s="44"/>
      <c r="K721" s="35">
        <v>0.3009</v>
      </c>
      <c r="L721" s="35">
        <v>0.65210000000000001</v>
      </c>
      <c r="M721" s="35">
        <v>0</v>
      </c>
      <c r="N721" s="21"/>
      <c r="Q721" s="22" t="s">
        <v>187</v>
      </c>
      <c r="R721" s="2"/>
      <c r="S721" s="2"/>
      <c r="T721" s="2"/>
      <c r="U721" s="34">
        <f t="shared" si="11"/>
        <v>0.65210000000000001</v>
      </c>
    </row>
    <row r="722" spans="1:21" x14ac:dyDescent="0.2">
      <c r="A722" s="18" t="s">
        <v>2179</v>
      </c>
      <c r="B722" s="19" t="s">
        <v>2180</v>
      </c>
      <c r="C722" s="19" t="s">
        <v>2181</v>
      </c>
      <c r="D722" s="20">
        <v>7.4121816129999987</v>
      </c>
      <c r="E722" s="20">
        <v>26.749385860000004</v>
      </c>
      <c r="F722" s="1">
        <v>0.47732640800380982</v>
      </c>
      <c r="G722" s="42" t="s">
        <v>187</v>
      </c>
      <c r="J722" s="44"/>
      <c r="K722" s="35">
        <v>0.92759999999999998</v>
      </c>
      <c r="L722" s="35">
        <v>4.4999999999999998E-2</v>
      </c>
      <c r="M722" s="35">
        <v>0</v>
      </c>
      <c r="N722" s="21"/>
      <c r="Q722" s="22" t="s">
        <v>187</v>
      </c>
      <c r="R722" s="2"/>
      <c r="S722" s="2"/>
      <c r="T722" s="2"/>
      <c r="U722" s="34">
        <f t="shared" si="11"/>
        <v>0.92759999999999998</v>
      </c>
    </row>
    <row r="723" spans="1:21" x14ac:dyDescent="0.2">
      <c r="A723" s="18" t="s">
        <v>2182</v>
      </c>
      <c r="B723" s="19" t="s">
        <v>2183</v>
      </c>
      <c r="C723" s="19" t="s">
        <v>2184</v>
      </c>
      <c r="D723" s="20">
        <v>1.3061996792500001</v>
      </c>
      <c r="E723" s="20">
        <v>5.1344367640000002</v>
      </c>
      <c r="F723" s="1">
        <v>6.8357855960903435E-2</v>
      </c>
      <c r="G723" s="42"/>
      <c r="H723" s="49" t="s">
        <v>187</v>
      </c>
      <c r="J723" s="44"/>
      <c r="K723" s="35">
        <v>5.0000000000000001E-4</v>
      </c>
      <c r="L723" s="35">
        <v>0.77180000000000004</v>
      </c>
      <c r="M723" s="35">
        <v>4.4999999999999997E-3</v>
      </c>
      <c r="N723" s="21"/>
      <c r="O723" s="2" t="s">
        <v>187</v>
      </c>
      <c r="Q723" s="22"/>
      <c r="R723" s="2"/>
      <c r="S723" s="2"/>
      <c r="T723" s="2"/>
      <c r="U723" s="34">
        <f t="shared" si="11"/>
        <v>0.77180000000000004</v>
      </c>
    </row>
    <row r="724" spans="1:21" x14ac:dyDescent="0.2">
      <c r="A724" s="18" t="s">
        <v>2186</v>
      </c>
      <c r="B724" s="19" t="s">
        <v>2187</v>
      </c>
      <c r="C724" s="19" t="s">
        <v>2188</v>
      </c>
      <c r="D724" s="20">
        <v>1.098324622</v>
      </c>
      <c r="E724" s="20">
        <v>16.909077400499999</v>
      </c>
      <c r="F724" s="1">
        <v>0.19947658185973807</v>
      </c>
      <c r="G724" s="42"/>
      <c r="H724" s="43" t="s">
        <v>187</v>
      </c>
      <c r="J724" s="44"/>
      <c r="K724" s="35">
        <v>1E-3</v>
      </c>
      <c r="L724" s="35">
        <v>0.97209999999999996</v>
      </c>
      <c r="M724" s="35">
        <v>1E-4</v>
      </c>
      <c r="N724" s="21"/>
      <c r="O724" s="2" t="s">
        <v>187</v>
      </c>
      <c r="Q724" s="22"/>
      <c r="R724" s="2"/>
      <c r="S724" s="2"/>
      <c r="T724" s="2"/>
      <c r="U724" s="34">
        <f t="shared" si="11"/>
        <v>0.97209999999999996</v>
      </c>
    </row>
    <row r="725" spans="1:21" x14ac:dyDescent="0.2">
      <c r="A725" s="18" t="s">
        <v>2189</v>
      </c>
      <c r="B725" s="19" t="s">
        <v>2190</v>
      </c>
      <c r="C725" s="19" t="s">
        <v>1418</v>
      </c>
      <c r="D725" s="20">
        <v>3.5450532062500004</v>
      </c>
      <c r="E725" s="20">
        <v>14.169991775</v>
      </c>
      <c r="F725" s="1">
        <v>0.31539795566780926</v>
      </c>
      <c r="G725" s="42" t="s">
        <v>187</v>
      </c>
      <c r="J725" s="44"/>
      <c r="K725" s="35">
        <v>0.62460000000000004</v>
      </c>
      <c r="L725" s="35">
        <v>0.32179999999999997</v>
      </c>
      <c r="M725" s="35">
        <v>0</v>
      </c>
      <c r="N725" s="21"/>
      <c r="Q725" s="22" t="s">
        <v>187</v>
      </c>
      <c r="R725" s="2"/>
      <c r="S725" s="2"/>
      <c r="T725" s="2"/>
      <c r="U725" s="34">
        <f t="shared" si="11"/>
        <v>0.62460000000000004</v>
      </c>
    </row>
    <row r="726" spans="1:21" x14ac:dyDescent="0.2">
      <c r="A726" s="18" t="s">
        <v>2191</v>
      </c>
      <c r="B726" s="19" t="s">
        <v>2192</v>
      </c>
      <c r="C726" s="19" t="s">
        <v>1418</v>
      </c>
      <c r="D726" s="20">
        <v>3.4546950674999999</v>
      </c>
      <c r="E726" s="20">
        <v>14.0582199925</v>
      </c>
      <c r="F726" s="1">
        <v>0.16349369093018692</v>
      </c>
      <c r="G726" s="42" t="s">
        <v>187</v>
      </c>
      <c r="J726" s="44"/>
      <c r="K726" s="35">
        <v>0.59130000000000005</v>
      </c>
      <c r="L726" s="35">
        <v>0.35320000000000001</v>
      </c>
      <c r="M726" s="35">
        <v>0</v>
      </c>
      <c r="N726" s="21"/>
      <c r="Q726" s="22" t="s">
        <v>187</v>
      </c>
      <c r="R726" s="2"/>
      <c r="S726" s="2"/>
      <c r="T726" s="2"/>
      <c r="U726" s="34">
        <f t="shared" si="11"/>
        <v>0.59130000000000005</v>
      </c>
    </row>
    <row r="727" spans="1:21" x14ac:dyDescent="0.2">
      <c r="A727" s="18" t="s">
        <v>2193</v>
      </c>
      <c r="B727" s="19" t="s">
        <v>2194</v>
      </c>
      <c r="C727" s="19" t="s">
        <v>1418</v>
      </c>
      <c r="D727" s="20">
        <v>1.7269996214999999</v>
      </c>
      <c r="E727" s="20">
        <v>12.423288477499998</v>
      </c>
      <c r="F727" s="1">
        <v>0</v>
      </c>
      <c r="G727" s="42"/>
      <c r="H727" s="43" t="s">
        <v>187</v>
      </c>
      <c r="J727" s="44"/>
      <c r="K727" s="35">
        <v>1.95E-2</v>
      </c>
      <c r="L727" s="35">
        <v>0.9405</v>
      </c>
      <c r="M727" s="35">
        <v>0</v>
      </c>
      <c r="N727" s="21"/>
      <c r="O727" s="2" t="s">
        <v>187</v>
      </c>
      <c r="Q727" s="22"/>
      <c r="R727" s="2"/>
      <c r="S727" s="2"/>
      <c r="T727" s="2"/>
      <c r="U727" s="34">
        <f t="shared" si="11"/>
        <v>0.9405</v>
      </c>
    </row>
    <row r="728" spans="1:21" x14ac:dyDescent="0.2">
      <c r="A728" s="18" t="s">
        <v>2195</v>
      </c>
      <c r="B728" s="19" t="s">
        <v>2196</v>
      </c>
      <c r="C728" s="19" t="s">
        <v>1418</v>
      </c>
      <c r="D728" s="20">
        <v>4.2350579179999999</v>
      </c>
      <c r="E728" s="20">
        <v>14.704468063749999</v>
      </c>
      <c r="F728" s="1">
        <v>0.10928262499030177</v>
      </c>
      <c r="G728" s="42" t="s">
        <v>187</v>
      </c>
      <c r="J728" s="44"/>
      <c r="K728" s="35">
        <v>0.80879999999999996</v>
      </c>
      <c r="L728" s="35">
        <v>0.1512</v>
      </c>
      <c r="M728" s="35">
        <v>0</v>
      </c>
      <c r="N728" s="21"/>
      <c r="Q728" s="22" t="s">
        <v>187</v>
      </c>
      <c r="R728" s="2"/>
      <c r="S728" s="2"/>
      <c r="T728" s="2"/>
      <c r="U728" s="34">
        <f t="shared" si="11"/>
        <v>0.80879999999999996</v>
      </c>
    </row>
    <row r="729" spans="1:21" x14ac:dyDescent="0.2">
      <c r="A729" s="18" t="s">
        <v>1666</v>
      </c>
      <c r="B729" s="19" t="s">
        <v>2197</v>
      </c>
      <c r="C729" s="19" t="s">
        <v>2198</v>
      </c>
      <c r="D729" s="20">
        <v>2.8679931255000004</v>
      </c>
      <c r="E729" s="20">
        <v>12.0448415575</v>
      </c>
      <c r="F729" s="1">
        <v>0.20634731675159798</v>
      </c>
      <c r="G729" s="42"/>
      <c r="I729" s="43" t="s">
        <v>187</v>
      </c>
      <c r="J729" s="44"/>
      <c r="K729" s="35">
        <v>0.34289999999999998</v>
      </c>
      <c r="L729" s="35">
        <v>0.58009999999999995</v>
      </c>
      <c r="M729" s="35">
        <v>0</v>
      </c>
      <c r="N729" s="21"/>
      <c r="O729" s="2" t="s">
        <v>187</v>
      </c>
      <c r="Q729" s="22"/>
      <c r="R729" s="2"/>
      <c r="S729" s="2"/>
      <c r="T729" s="2"/>
      <c r="U729" s="34">
        <f t="shared" si="11"/>
        <v>0.58009999999999995</v>
      </c>
    </row>
    <row r="730" spans="1:21" x14ac:dyDescent="0.2">
      <c r="A730" s="18" t="s">
        <v>2199</v>
      </c>
      <c r="B730" s="19" t="s">
        <v>2200</v>
      </c>
      <c r="C730" s="19" t="s">
        <v>2201</v>
      </c>
      <c r="D730" s="20">
        <v>2.6058175500000003</v>
      </c>
      <c r="E730" s="20">
        <v>4.5707047185</v>
      </c>
      <c r="F730" s="1">
        <v>0.38973932925302507</v>
      </c>
      <c r="G730" s="42"/>
      <c r="J730" s="44" t="s">
        <v>187</v>
      </c>
      <c r="K730" s="35">
        <v>1.8599999999999998E-2</v>
      </c>
      <c r="L730" s="35">
        <v>0.14899999999999999</v>
      </c>
      <c r="M730" s="35">
        <v>1E-4</v>
      </c>
      <c r="N730" s="21"/>
      <c r="Q730" s="22"/>
      <c r="R730" s="2"/>
      <c r="S730" s="2"/>
      <c r="T730" s="2"/>
      <c r="U730" s="34">
        <f t="shared" si="11"/>
        <v>0.14899999999999999</v>
      </c>
    </row>
    <row r="731" spans="1:21" x14ac:dyDescent="0.2">
      <c r="A731" s="18" t="s">
        <v>2203</v>
      </c>
      <c r="B731" s="19" t="s">
        <v>2204</v>
      </c>
      <c r="C731" s="19" t="s">
        <v>2205</v>
      </c>
      <c r="D731" s="20">
        <v>1.4515478802500001</v>
      </c>
      <c r="E731" s="20">
        <v>6.0128447874999997</v>
      </c>
      <c r="F731" s="1">
        <v>15.918835706894274</v>
      </c>
      <c r="G731" s="42"/>
      <c r="H731" s="43" t="s">
        <v>187</v>
      </c>
      <c r="J731" s="44"/>
      <c r="K731" s="35">
        <v>2E-3</v>
      </c>
      <c r="L731" s="35">
        <v>0.83169999999999999</v>
      </c>
      <c r="M731" s="35">
        <v>1.1999999999999999E-3</v>
      </c>
      <c r="N731" s="21"/>
      <c r="O731" s="2" t="s">
        <v>187</v>
      </c>
      <c r="Q731" s="22"/>
      <c r="R731" s="2"/>
      <c r="S731" s="2"/>
      <c r="T731" s="2"/>
      <c r="U731" s="34">
        <f t="shared" si="11"/>
        <v>0.83169999999999999</v>
      </c>
    </row>
    <row r="732" spans="1:21" x14ac:dyDescent="0.2">
      <c r="A732" s="18" t="s">
        <v>2206</v>
      </c>
      <c r="B732" s="19" t="s">
        <v>2207</v>
      </c>
      <c r="C732" s="19" t="s">
        <v>2208</v>
      </c>
      <c r="D732" s="20">
        <v>0.44164921566666671</v>
      </c>
      <c r="E732" s="20">
        <v>2.2681567633333333</v>
      </c>
      <c r="F732" s="1">
        <v>0.20035968201986645</v>
      </c>
      <c r="G732" s="42"/>
      <c r="I732" s="43" t="s">
        <v>187</v>
      </c>
      <c r="J732" s="44"/>
      <c r="K732" s="35">
        <v>0</v>
      </c>
      <c r="L732" s="35">
        <v>0.10290000000000001</v>
      </c>
      <c r="M732" s="35">
        <v>0.72870000000000001</v>
      </c>
      <c r="N732" s="21"/>
      <c r="O732" s="2" t="s">
        <v>187</v>
      </c>
      <c r="Q732" s="22"/>
      <c r="R732" s="2"/>
      <c r="S732" s="2"/>
      <c r="T732" s="2"/>
      <c r="U732" s="34">
        <f t="shared" si="11"/>
        <v>0.72870000000000001</v>
      </c>
    </row>
    <row r="733" spans="1:21" x14ac:dyDescent="0.2">
      <c r="A733" s="18" t="s">
        <v>2210</v>
      </c>
      <c r="B733" s="19" t="s">
        <v>2211</v>
      </c>
      <c r="C733" s="19" t="s">
        <v>2212</v>
      </c>
      <c r="D733" s="20">
        <v>1.6729592535</v>
      </c>
      <c r="E733" s="20">
        <v>11.020310180000001</v>
      </c>
      <c r="F733" s="1">
        <v>0</v>
      </c>
      <c r="G733" s="42"/>
      <c r="H733" s="43" t="s">
        <v>187</v>
      </c>
      <c r="J733" s="44"/>
      <c r="K733" s="35">
        <v>1.5100000000000001E-2</v>
      </c>
      <c r="L733" s="35">
        <v>0.93910000000000005</v>
      </c>
      <c r="M733" s="35">
        <v>0</v>
      </c>
      <c r="N733" s="21"/>
      <c r="O733" s="2" t="s">
        <v>187</v>
      </c>
      <c r="Q733" s="22"/>
      <c r="R733" s="2"/>
      <c r="S733" s="2"/>
      <c r="T733" s="2"/>
      <c r="U733" s="34">
        <f t="shared" si="11"/>
        <v>0.93910000000000005</v>
      </c>
    </row>
    <row r="734" spans="1:21" x14ac:dyDescent="0.2">
      <c r="A734" s="18" t="s">
        <v>2213</v>
      </c>
      <c r="B734" s="19" t="s">
        <v>2214</v>
      </c>
      <c r="C734" s="19" t="s">
        <v>2215</v>
      </c>
      <c r="D734" s="20">
        <v>0.37117012300000002</v>
      </c>
      <c r="E734" s="20">
        <v>0.71173061650000002</v>
      </c>
      <c r="F734" s="1">
        <v>5.9388643731217856</v>
      </c>
      <c r="G734" s="42"/>
      <c r="I734" s="43" t="s">
        <v>187</v>
      </c>
      <c r="J734" s="44"/>
      <c r="K734" s="35">
        <v>0</v>
      </c>
      <c r="L734" s="35">
        <v>0</v>
      </c>
      <c r="M734" s="35">
        <v>0.95379999999999998</v>
      </c>
      <c r="N734" s="21"/>
      <c r="O734" s="2" t="s">
        <v>187</v>
      </c>
      <c r="Q734" s="22"/>
      <c r="R734" s="2"/>
      <c r="S734" s="2"/>
      <c r="T734" s="2"/>
      <c r="U734" s="34">
        <f t="shared" si="11"/>
        <v>0.95379999999999998</v>
      </c>
    </row>
    <row r="735" spans="1:21" x14ac:dyDescent="0.2">
      <c r="A735" s="18" t="s">
        <v>2216</v>
      </c>
      <c r="B735" s="19" t="s">
        <v>2217</v>
      </c>
      <c r="C735" s="19" t="s">
        <v>2218</v>
      </c>
      <c r="D735" s="20">
        <v>0.50710384100000006</v>
      </c>
      <c r="E735" s="20">
        <v>0.95588460024999999</v>
      </c>
      <c r="F735" s="1">
        <v>43.427961077795374</v>
      </c>
      <c r="G735" s="42"/>
      <c r="I735" s="43" t="s">
        <v>187</v>
      </c>
      <c r="J735" s="44"/>
      <c r="K735" s="35">
        <v>0</v>
      </c>
      <c r="L735" s="35">
        <v>1E-4</v>
      </c>
      <c r="M735" s="35">
        <v>0.91590000000000005</v>
      </c>
      <c r="N735" s="21"/>
      <c r="O735" s="2" t="s">
        <v>187</v>
      </c>
      <c r="Q735" s="22"/>
      <c r="R735" s="2"/>
      <c r="S735" s="2"/>
      <c r="T735" s="2"/>
      <c r="U735" s="34">
        <f t="shared" si="11"/>
        <v>0.91590000000000005</v>
      </c>
    </row>
    <row r="736" spans="1:21" x14ac:dyDescent="0.2">
      <c r="A736" s="18" t="s">
        <v>2152</v>
      </c>
      <c r="B736" s="19" t="s">
        <v>2219</v>
      </c>
      <c r="C736" s="19" t="s">
        <v>2220</v>
      </c>
      <c r="D736" s="20">
        <v>0.38531659874999996</v>
      </c>
      <c r="E736" s="20">
        <v>0.3617670885</v>
      </c>
      <c r="F736" s="1">
        <v>2.2073121191699947</v>
      </c>
      <c r="G736" s="42"/>
      <c r="I736" s="43" t="s">
        <v>187</v>
      </c>
      <c r="J736" s="44"/>
      <c r="K736" s="35">
        <v>0</v>
      </c>
      <c r="L736" s="35">
        <v>0</v>
      </c>
      <c r="M736" s="35">
        <v>0.9667</v>
      </c>
      <c r="N736" s="21" t="s">
        <v>187</v>
      </c>
      <c r="Q736" s="22"/>
      <c r="R736" s="2"/>
      <c r="S736" s="2"/>
      <c r="T736" s="2"/>
      <c r="U736" s="34">
        <f t="shared" si="11"/>
        <v>0.9667</v>
      </c>
    </row>
    <row r="737" spans="1:21" x14ac:dyDescent="0.2">
      <c r="A737" s="18" t="s">
        <v>2222</v>
      </c>
      <c r="B737" s="19" t="s">
        <v>2223</v>
      </c>
      <c r="C737" s="19" t="s">
        <v>2224</v>
      </c>
      <c r="D737" s="20">
        <v>0.37787374800000001</v>
      </c>
      <c r="E737" s="20">
        <v>12.468067456666667</v>
      </c>
      <c r="F737" s="1">
        <v>0.14681403155243977</v>
      </c>
      <c r="G737" s="42"/>
      <c r="H737" s="43" t="s">
        <v>187</v>
      </c>
      <c r="J737" s="44"/>
      <c r="K737" s="35">
        <v>0</v>
      </c>
      <c r="L737" s="35">
        <v>0.94030000000000002</v>
      </c>
      <c r="M737" s="35">
        <v>4.3E-3</v>
      </c>
      <c r="N737" s="21" t="s">
        <v>187</v>
      </c>
      <c r="Q737" s="22"/>
      <c r="R737" s="2"/>
      <c r="S737" s="2"/>
      <c r="T737" s="2"/>
      <c r="U737" s="34">
        <f t="shared" si="11"/>
        <v>0.94030000000000002</v>
      </c>
    </row>
    <row r="738" spans="1:21" x14ac:dyDescent="0.2">
      <c r="A738" s="18" t="s">
        <v>2225</v>
      </c>
      <c r="B738" s="19" t="s">
        <v>2226</v>
      </c>
      <c r="C738" s="19" t="s">
        <v>2227</v>
      </c>
      <c r="D738" s="20">
        <v>0.40915459699999995</v>
      </c>
      <c r="E738" s="20">
        <v>23.841268576666664</v>
      </c>
      <c r="F738" s="1">
        <v>0.14831213391521994</v>
      </c>
      <c r="G738" s="42"/>
      <c r="H738" s="43" t="s">
        <v>187</v>
      </c>
      <c r="J738" s="44"/>
      <c r="K738" s="35">
        <v>0</v>
      </c>
      <c r="L738" s="35">
        <v>0.78439999999999999</v>
      </c>
      <c r="M738" s="35">
        <v>2E-3</v>
      </c>
      <c r="N738" s="21" t="s">
        <v>187</v>
      </c>
      <c r="Q738" s="22"/>
      <c r="R738" s="2"/>
      <c r="S738" s="2"/>
      <c r="T738" s="2"/>
      <c r="U738" s="34">
        <f t="shared" si="11"/>
        <v>0.78439999999999999</v>
      </c>
    </row>
    <row r="739" spans="1:21" x14ac:dyDescent="0.2">
      <c r="A739" s="18" t="s">
        <v>2228</v>
      </c>
      <c r="B739" s="19" t="s">
        <v>2229</v>
      </c>
      <c r="C739" s="19" t="s">
        <v>2230</v>
      </c>
      <c r="D739" s="20">
        <v>0.25209446025000004</v>
      </c>
      <c r="E739" s="20">
        <v>0.26613362400000001</v>
      </c>
      <c r="F739" s="1">
        <v>0.12213940440074501</v>
      </c>
      <c r="G739" s="42"/>
      <c r="I739" s="43" t="s">
        <v>187</v>
      </c>
      <c r="J739" s="44"/>
      <c r="K739" s="35">
        <v>0</v>
      </c>
      <c r="L739" s="35">
        <v>0</v>
      </c>
      <c r="M739" s="35">
        <v>0.96709999999999996</v>
      </c>
      <c r="N739" s="21" t="s">
        <v>187</v>
      </c>
      <c r="Q739" s="22"/>
      <c r="R739" s="2"/>
      <c r="S739" s="2"/>
      <c r="T739" s="2"/>
      <c r="U739" s="34">
        <f t="shared" si="11"/>
        <v>0.96709999999999996</v>
      </c>
    </row>
    <row r="740" spans="1:21" x14ac:dyDescent="0.2">
      <c r="A740" s="18" t="s">
        <v>2232</v>
      </c>
      <c r="B740" s="19" t="s">
        <v>2233</v>
      </c>
      <c r="C740" s="19" t="s">
        <v>2234</v>
      </c>
      <c r="D740" s="20">
        <v>0.52511114733333331</v>
      </c>
      <c r="E740" s="20">
        <v>1.8134764886666666</v>
      </c>
      <c r="F740" s="1">
        <v>4.4179309885394931</v>
      </c>
      <c r="G740" s="42"/>
      <c r="I740" s="43" t="s">
        <v>187</v>
      </c>
      <c r="J740" s="44"/>
      <c r="K740" s="35">
        <v>0</v>
      </c>
      <c r="L740" s="35">
        <v>1.9199999999999998E-2</v>
      </c>
      <c r="M740" s="35">
        <v>0.81110000000000004</v>
      </c>
      <c r="N740" s="21"/>
      <c r="O740" s="2" t="s">
        <v>187</v>
      </c>
      <c r="Q740" s="22"/>
      <c r="R740" s="2"/>
      <c r="S740" s="2"/>
      <c r="T740" s="2"/>
      <c r="U740" s="34">
        <f t="shared" si="11"/>
        <v>0.81110000000000004</v>
      </c>
    </row>
    <row r="741" spans="1:21" x14ac:dyDescent="0.2">
      <c r="A741" s="18" t="s">
        <v>2235</v>
      </c>
      <c r="B741" s="19" t="s">
        <v>2236</v>
      </c>
      <c r="C741" s="19" t="s">
        <v>2237</v>
      </c>
      <c r="D741" s="20">
        <v>0.14099999999999999</v>
      </c>
      <c r="E741" s="20">
        <v>2.8112999999999999E-2</v>
      </c>
      <c r="F741" s="1" t="s">
        <v>47</v>
      </c>
      <c r="G741" s="42"/>
      <c r="I741" s="49" t="s">
        <v>187</v>
      </c>
      <c r="J741" s="44"/>
      <c r="K741" s="35">
        <v>0</v>
      </c>
      <c r="L741" s="35">
        <v>0</v>
      </c>
      <c r="M741" s="35">
        <v>0.6704</v>
      </c>
      <c r="N741" s="21"/>
      <c r="O741" s="2" t="s">
        <v>187</v>
      </c>
      <c r="Q741" s="22"/>
      <c r="R741" s="2"/>
      <c r="S741" s="2"/>
      <c r="T741" s="2"/>
      <c r="U741" s="34">
        <f t="shared" si="11"/>
        <v>0.6704</v>
      </c>
    </row>
    <row r="742" spans="1:21" x14ac:dyDescent="0.2">
      <c r="A742" s="18" t="s">
        <v>2202</v>
      </c>
      <c r="B742" s="19" t="s">
        <v>2238</v>
      </c>
      <c r="C742" s="19" t="s">
        <v>2239</v>
      </c>
      <c r="D742" s="20">
        <v>0.3185850375</v>
      </c>
      <c r="E742" s="20">
        <v>2.6014615000000001</v>
      </c>
      <c r="F742" s="1">
        <v>0.57395590035514688</v>
      </c>
      <c r="G742" s="42"/>
      <c r="I742" s="43" t="s">
        <v>187</v>
      </c>
      <c r="J742" s="44"/>
      <c r="K742" s="35">
        <v>0</v>
      </c>
      <c r="L742" s="35">
        <v>0.27489999999999998</v>
      </c>
      <c r="M742" s="35">
        <v>0.56200000000000006</v>
      </c>
      <c r="N742" s="21" t="s">
        <v>187</v>
      </c>
      <c r="Q742" s="22"/>
      <c r="R742" s="2"/>
      <c r="S742" s="2"/>
      <c r="T742" s="2"/>
      <c r="U742" s="34">
        <f t="shared" si="11"/>
        <v>0.56200000000000006</v>
      </c>
    </row>
    <row r="743" spans="1:21" x14ac:dyDescent="0.2">
      <c r="A743" s="18" t="s">
        <v>1484</v>
      </c>
      <c r="B743" s="19" t="s">
        <v>2241</v>
      </c>
      <c r="C743" s="19" t="s">
        <v>2242</v>
      </c>
      <c r="D743" s="20">
        <v>0.26331217899999998</v>
      </c>
      <c r="E743" s="20">
        <v>0.40528036750000002</v>
      </c>
      <c r="F743" s="1">
        <v>0.37490011628572484</v>
      </c>
      <c r="G743" s="42"/>
      <c r="I743" s="43" t="s">
        <v>187</v>
      </c>
      <c r="J743" s="44"/>
      <c r="K743" s="35">
        <v>0</v>
      </c>
      <c r="L743" s="35">
        <v>0</v>
      </c>
      <c r="M743" s="35">
        <v>0.96399999999999997</v>
      </c>
      <c r="N743" s="21"/>
      <c r="O743" s="2" t="s">
        <v>187</v>
      </c>
      <c r="Q743" s="22"/>
      <c r="R743" s="2"/>
      <c r="S743" s="2"/>
      <c r="T743" s="2"/>
      <c r="U743" s="34">
        <f t="shared" si="11"/>
        <v>0.96399999999999997</v>
      </c>
    </row>
    <row r="744" spans="1:21" x14ac:dyDescent="0.2">
      <c r="A744" s="18" t="s">
        <v>1790</v>
      </c>
      <c r="B744" s="19" t="s">
        <v>2243</v>
      </c>
      <c r="C744" s="19" t="s">
        <v>2244</v>
      </c>
      <c r="D744" s="20">
        <v>0.25584050575</v>
      </c>
      <c r="E744" s="20">
        <v>0.37889040500000004</v>
      </c>
      <c r="F744" s="1">
        <v>0.36913242218900832</v>
      </c>
      <c r="G744" s="42"/>
      <c r="I744" s="43" t="s">
        <v>187</v>
      </c>
      <c r="J744" s="44"/>
      <c r="K744" s="35">
        <v>0</v>
      </c>
      <c r="L744" s="35">
        <v>0</v>
      </c>
      <c r="M744" s="35">
        <v>0.96389999999999998</v>
      </c>
      <c r="N744" s="21"/>
      <c r="O744" s="2" t="s">
        <v>187</v>
      </c>
      <c r="Q744" s="22"/>
      <c r="R744" s="2"/>
      <c r="S744" s="2"/>
      <c r="T744" s="2"/>
      <c r="U744" s="34">
        <f t="shared" si="11"/>
        <v>0.96389999999999998</v>
      </c>
    </row>
    <row r="745" spans="1:21" x14ac:dyDescent="0.2">
      <c r="A745" s="18" t="s">
        <v>2178</v>
      </c>
      <c r="B745" s="19" t="s">
        <v>2247</v>
      </c>
      <c r="C745" s="19" t="s">
        <v>2248</v>
      </c>
      <c r="D745" s="20">
        <v>0.47229504950000001</v>
      </c>
      <c r="E745" s="20">
        <v>0.48337304249999996</v>
      </c>
      <c r="F745" s="1">
        <v>2.2991273511781984</v>
      </c>
      <c r="G745" s="42"/>
      <c r="I745" s="43" t="s">
        <v>187</v>
      </c>
      <c r="J745" s="44"/>
      <c r="K745" s="35">
        <v>0</v>
      </c>
      <c r="L745" s="35">
        <v>0</v>
      </c>
      <c r="M745" s="35">
        <v>0.95189999999999997</v>
      </c>
      <c r="N745" s="21" t="s">
        <v>187</v>
      </c>
      <c r="Q745" s="22"/>
      <c r="R745" s="2"/>
      <c r="S745" s="2"/>
      <c r="T745" s="2"/>
      <c r="U745" s="34">
        <f t="shared" si="11"/>
        <v>0.95189999999999997</v>
      </c>
    </row>
    <row r="746" spans="1:21" x14ac:dyDescent="0.2">
      <c r="A746" s="18" t="s">
        <v>2249</v>
      </c>
      <c r="B746" s="19" t="s">
        <v>2250</v>
      </c>
      <c r="C746" s="19" t="s">
        <v>2251</v>
      </c>
      <c r="D746" s="20">
        <v>1.9048315004999998</v>
      </c>
      <c r="E746" s="20">
        <v>3.11</v>
      </c>
      <c r="F746" s="1">
        <v>4.9589021299907516</v>
      </c>
      <c r="G746" s="42"/>
      <c r="J746" s="44" t="s">
        <v>187</v>
      </c>
      <c r="K746" s="35">
        <v>2.0000000000000001E-4</v>
      </c>
      <c r="L746" s="35">
        <v>5.45E-2</v>
      </c>
      <c r="M746" s="35">
        <v>2.5999999999999999E-3</v>
      </c>
      <c r="N746" s="21"/>
      <c r="Q746" s="22"/>
      <c r="R746" s="2"/>
      <c r="S746" s="2"/>
      <c r="T746" s="2"/>
      <c r="U746" s="34">
        <f t="shared" si="11"/>
        <v>5.45E-2</v>
      </c>
    </row>
    <row r="747" spans="1:21" x14ac:dyDescent="0.2">
      <c r="A747" s="18" t="s">
        <v>2253</v>
      </c>
      <c r="B747" s="19" t="s">
        <v>2254</v>
      </c>
      <c r="C747" s="19" t="s">
        <v>2255</v>
      </c>
      <c r="D747" s="20">
        <v>2.5449810942500002</v>
      </c>
      <c r="E747" s="20">
        <v>21.394115345000003</v>
      </c>
      <c r="F747" s="1">
        <v>0.31500801642285237</v>
      </c>
      <c r="G747" s="42"/>
      <c r="H747" s="43" t="s">
        <v>187</v>
      </c>
      <c r="J747" s="44"/>
      <c r="K747" s="35">
        <v>0.1203</v>
      </c>
      <c r="L747" s="35">
        <v>0.83599999999999997</v>
      </c>
      <c r="M747" s="35">
        <v>0</v>
      </c>
      <c r="N747" s="21"/>
      <c r="O747" s="2" t="s">
        <v>187</v>
      </c>
      <c r="Q747" s="22"/>
      <c r="R747" s="2"/>
      <c r="S747" s="2"/>
      <c r="T747" s="2"/>
      <c r="U747" s="34">
        <f t="shared" si="11"/>
        <v>0.83599999999999997</v>
      </c>
    </row>
    <row r="748" spans="1:21" x14ac:dyDescent="0.2">
      <c r="A748" s="18" t="s">
        <v>2257</v>
      </c>
      <c r="B748" s="19" t="s">
        <v>2258</v>
      </c>
      <c r="C748" s="19" t="s">
        <v>2259</v>
      </c>
      <c r="D748" s="20">
        <v>2.406540417</v>
      </c>
      <c r="E748" s="20">
        <v>24.721380064999998</v>
      </c>
      <c r="F748" s="1">
        <v>0.21075617892949547</v>
      </c>
      <c r="G748" s="42"/>
      <c r="H748" s="43" t="s">
        <v>187</v>
      </c>
      <c r="J748" s="44"/>
      <c r="K748" s="35">
        <v>6.88E-2</v>
      </c>
      <c r="L748" s="35">
        <v>0.88560000000000005</v>
      </c>
      <c r="M748" s="35">
        <v>0</v>
      </c>
      <c r="N748" s="21"/>
      <c r="O748" s="2" t="s">
        <v>187</v>
      </c>
      <c r="Q748" s="22"/>
      <c r="R748" s="2"/>
      <c r="S748" s="2"/>
      <c r="T748" s="2"/>
      <c r="U748" s="34">
        <f t="shared" si="11"/>
        <v>0.88560000000000005</v>
      </c>
    </row>
    <row r="749" spans="1:21" x14ac:dyDescent="0.2">
      <c r="A749" s="18" t="s">
        <v>2153</v>
      </c>
      <c r="B749" s="19" t="s">
        <v>2260</v>
      </c>
      <c r="C749" s="19" t="s">
        <v>2261</v>
      </c>
      <c r="D749" s="20">
        <v>0.35926392149999997</v>
      </c>
      <c r="E749" s="20">
        <v>4.2685156750000001E-2</v>
      </c>
      <c r="F749" s="1">
        <v>0.16610958998511932</v>
      </c>
      <c r="G749" s="42"/>
      <c r="I749" s="43" t="s">
        <v>187</v>
      </c>
      <c r="J749" s="44"/>
      <c r="K749" s="35">
        <v>0</v>
      </c>
      <c r="L749" s="35">
        <v>0</v>
      </c>
      <c r="M749" s="35">
        <v>0.90269999999999995</v>
      </c>
      <c r="N749" s="21"/>
      <c r="O749" s="2" t="s">
        <v>187</v>
      </c>
      <c r="Q749" s="22"/>
      <c r="R749" s="2"/>
      <c r="S749" s="2"/>
      <c r="T749" s="2"/>
      <c r="U749" s="34">
        <f t="shared" si="11"/>
        <v>0.90269999999999995</v>
      </c>
    </row>
    <row r="750" spans="1:21" x14ac:dyDescent="0.2">
      <c r="A750" s="18" t="s">
        <v>2086</v>
      </c>
      <c r="B750" s="19" t="s">
        <v>2263</v>
      </c>
      <c r="C750" s="19" t="s">
        <v>2264</v>
      </c>
      <c r="D750" s="20">
        <v>0.30166800700000002</v>
      </c>
      <c r="E750" s="20">
        <v>1.834297995</v>
      </c>
      <c r="F750" s="1">
        <v>0.16285253920111309</v>
      </c>
      <c r="G750" s="42"/>
      <c r="I750" s="43" t="s">
        <v>187</v>
      </c>
      <c r="J750" s="44"/>
      <c r="K750" s="35">
        <v>0</v>
      </c>
      <c r="L750" s="35">
        <v>4.2799999999999998E-2</v>
      </c>
      <c r="M750" s="35">
        <v>0.82240000000000002</v>
      </c>
      <c r="N750" s="21"/>
      <c r="O750" s="2" t="s">
        <v>187</v>
      </c>
      <c r="Q750" s="22"/>
      <c r="R750" s="2"/>
      <c r="S750" s="2"/>
      <c r="T750" s="2"/>
      <c r="U750" s="34">
        <f t="shared" si="11"/>
        <v>0.82240000000000002</v>
      </c>
    </row>
    <row r="751" spans="1:21" x14ac:dyDescent="0.2">
      <c r="A751" s="18" t="s">
        <v>2265</v>
      </c>
      <c r="B751" s="19" t="s">
        <v>2266</v>
      </c>
      <c r="C751" s="19" t="s">
        <v>2267</v>
      </c>
      <c r="D751" s="20">
        <v>14.844613201000001</v>
      </c>
      <c r="E751" s="20">
        <v>16.941248048249999</v>
      </c>
      <c r="F751" s="1">
        <v>0.65323996061575262</v>
      </c>
      <c r="G751" s="42" t="s">
        <v>187</v>
      </c>
      <c r="J751" s="44"/>
      <c r="K751" s="35">
        <v>0.98370000000000002</v>
      </c>
      <c r="L751" s="35">
        <v>2.9999999999999997E-4</v>
      </c>
      <c r="M751" s="35">
        <v>0</v>
      </c>
      <c r="N751" s="21"/>
      <c r="Q751" s="22" t="s">
        <v>187</v>
      </c>
      <c r="R751" s="2"/>
      <c r="S751" s="2"/>
      <c r="T751" s="2"/>
      <c r="U751" s="34">
        <f t="shared" si="11"/>
        <v>0.98370000000000002</v>
      </c>
    </row>
    <row r="752" spans="1:21" x14ac:dyDescent="0.2">
      <c r="A752" s="18" t="s">
        <v>2269</v>
      </c>
      <c r="B752" s="19" t="s">
        <v>2270</v>
      </c>
      <c r="C752" s="19" t="s">
        <v>2271</v>
      </c>
      <c r="D752" s="20">
        <v>8.6077023199999996</v>
      </c>
      <c r="E752" s="20">
        <v>17.020340886666666</v>
      </c>
      <c r="F752" s="1">
        <v>0</v>
      </c>
      <c r="G752" s="42" t="s">
        <v>187</v>
      </c>
      <c r="J752" s="44"/>
      <c r="K752" s="35">
        <v>0.98089999999999999</v>
      </c>
      <c r="L752" s="35">
        <v>4.8999999999999998E-3</v>
      </c>
      <c r="M752" s="35">
        <v>0</v>
      </c>
      <c r="N752" s="21"/>
      <c r="Q752" s="22" t="s">
        <v>187</v>
      </c>
      <c r="R752" s="2"/>
      <c r="S752" s="2"/>
      <c r="T752" s="2"/>
      <c r="U752" s="34">
        <f t="shared" si="11"/>
        <v>0.98089999999999999</v>
      </c>
    </row>
    <row r="753" spans="1:21" x14ac:dyDescent="0.2">
      <c r="A753" s="18" t="s">
        <v>2272</v>
      </c>
      <c r="B753" s="19" t="s">
        <v>2273</v>
      </c>
      <c r="C753" s="19" t="s">
        <v>2274</v>
      </c>
      <c r="D753" s="20">
        <v>10.374462679500002</v>
      </c>
      <c r="E753" s="20">
        <v>26.725068579999999</v>
      </c>
      <c r="F753" s="1">
        <v>0.28394801706870154</v>
      </c>
      <c r="G753" s="42" t="s">
        <v>187</v>
      </c>
      <c r="J753" s="44"/>
      <c r="K753" s="35">
        <v>0.96819999999999995</v>
      </c>
      <c r="L753" s="35">
        <v>9.9000000000000008E-3</v>
      </c>
      <c r="M753" s="35">
        <v>0</v>
      </c>
      <c r="N753" s="21"/>
      <c r="Q753" s="22" t="s">
        <v>187</v>
      </c>
      <c r="R753" s="2"/>
      <c r="S753" s="2"/>
      <c r="T753" s="2"/>
      <c r="U753" s="34">
        <f t="shared" si="11"/>
        <v>0.96819999999999995</v>
      </c>
    </row>
    <row r="754" spans="1:21" x14ac:dyDescent="0.2">
      <c r="A754" s="18" t="s">
        <v>2275</v>
      </c>
      <c r="B754" s="19" t="s">
        <v>2276</v>
      </c>
      <c r="C754" s="19" t="s">
        <v>2277</v>
      </c>
      <c r="D754" s="20">
        <v>21.07589187025</v>
      </c>
      <c r="E754" s="20">
        <v>28.537976537500001</v>
      </c>
      <c r="F754" s="1">
        <v>1.3058930030282618</v>
      </c>
      <c r="G754" s="42" t="s">
        <v>187</v>
      </c>
      <c r="J754" s="44"/>
      <c r="K754" s="35">
        <v>0.95589999999999997</v>
      </c>
      <c r="L754" s="35">
        <v>6.9999999999999999E-4</v>
      </c>
      <c r="M754" s="35">
        <v>0</v>
      </c>
      <c r="N754" s="21"/>
      <c r="Q754" s="22" t="s">
        <v>187</v>
      </c>
      <c r="R754" s="2"/>
      <c r="S754" s="2"/>
      <c r="T754" s="2"/>
      <c r="U754" s="34">
        <f t="shared" si="11"/>
        <v>0.95589999999999997</v>
      </c>
    </row>
    <row r="755" spans="1:21" x14ac:dyDescent="0.2">
      <c r="A755" s="18" t="s">
        <v>2231</v>
      </c>
      <c r="B755" s="19" t="s">
        <v>2278</v>
      </c>
      <c r="C755" s="19" t="s">
        <v>2279</v>
      </c>
      <c r="D755" s="20">
        <v>0.17869865800000001</v>
      </c>
      <c r="E755" s="20">
        <v>0.21511949375</v>
      </c>
      <c r="F755" s="1">
        <v>1.6298387189399077</v>
      </c>
      <c r="G755" s="42"/>
      <c r="I755" s="43" t="s">
        <v>187</v>
      </c>
      <c r="J755" s="44"/>
      <c r="K755" s="35">
        <v>0</v>
      </c>
      <c r="L755" s="35">
        <v>0</v>
      </c>
      <c r="M755" s="35">
        <v>0.93769999999999998</v>
      </c>
      <c r="N755" s="21" t="s">
        <v>187</v>
      </c>
      <c r="Q755" s="22"/>
      <c r="R755" s="2"/>
      <c r="S755" s="2"/>
      <c r="T755" s="2"/>
      <c r="U755" s="34">
        <f t="shared" si="11"/>
        <v>0.93769999999999998</v>
      </c>
    </row>
    <row r="756" spans="1:21" x14ac:dyDescent="0.2">
      <c r="A756" s="18" t="s">
        <v>2262</v>
      </c>
      <c r="B756" s="19" t="s">
        <v>2280</v>
      </c>
      <c r="C756" s="19" t="s">
        <v>2281</v>
      </c>
      <c r="D756" s="20">
        <v>0.35333999999999999</v>
      </c>
      <c r="E756" s="20">
        <v>0.33869970900000002</v>
      </c>
      <c r="F756" s="1">
        <v>4.4295890662664821</v>
      </c>
      <c r="G756" s="42"/>
      <c r="I756" s="43" t="s">
        <v>187</v>
      </c>
      <c r="J756" s="44"/>
      <c r="K756" s="35">
        <v>0</v>
      </c>
      <c r="L756" s="35">
        <v>0</v>
      </c>
      <c r="M756" s="35">
        <v>0.96909999999999996</v>
      </c>
      <c r="N756" s="21" t="s">
        <v>187</v>
      </c>
      <c r="Q756" s="22"/>
      <c r="R756" s="2"/>
      <c r="S756" s="2"/>
      <c r="T756" s="2"/>
      <c r="U756" s="34">
        <f t="shared" si="11"/>
        <v>0.96909999999999996</v>
      </c>
    </row>
    <row r="757" spans="1:21" x14ac:dyDescent="0.2">
      <c r="A757" s="18" t="s">
        <v>2282</v>
      </c>
      <c r="B757" s="19" t="s">
        <v>2283</v>
      </c>
      <c r="C757" s="19" t="s">
        <v>2284</v>
      </c>
      <c r="D757" s="20">
        <v>6.8929519492499995</v>
      </c>
      <c r="E757" s="20">
        <v>3.3224</v>
      </c>
      <c r="F757" s="1">
        <v>4.7539888188323802</v>
      </c>
      <c r="G757" s="42"/>
      <c r="J757" s="44" t="s">
        <v>187</v>
      </c>
      <c r="K757" s="35">
        <v>6.4999999999999997E-3</v>
      </c>
      <c r="L757" s="35">
        <v>1E-4</v>
      </c>
      <c r="M757" s="35">
        <v>0</v>
      </c>
      <c r="N757" s="21"/>
      <c r="Q757" s="22"/>
      <c r="R757" s="2"/>
      <c r="S757" s="2"/>
      <c r="T757" s="2"/>
      <c r="U757" s="34">
        <f t="shared" si="11"/>
        <v>6.4999999999999997E-3</v>
      </c>
    </row>
    <row r="758" spans="1:21" x14ac:dyDescent="0.2">
      <c r="A758" s="18" t="s">
        <v>2286</v>
      </c>
      <c r="B758" s="19" t="s">
        <v>2287</v>
      </c>
      <c r="C758" s="19" t="s">
        <v>2288</v>
      </c>
      <c r="D758" s="20">
        <v>0.57129017199999998</v>
      </c>
      <c r="E758" s="20">
        <v>1.1933</v>
      </c>
      <c r="F758" s="1">
        <v>0</v>
      </c>
      <c r="G758" s="42"/>
      <c r="I758" s="43" t="s">
        <v>187</v>
      </c>
      <c r="J758" s="44"/>
      <c r="K758" s="35">
        <v>0</v>
      </c>
      <c r="L758" s="35">
        <v>5.0000000000000001E-4</v>
      </c>
      <c r="M758" s="35">
        <v>0.86929999999999996</v>
      </c>
      <c r="N758" s="21" t="s">
        <v>187</v>
      </c>
      <c r="Q758" s="22"/>
      <c r="R758" s="2"/>
      <c r="S758" s="2"/>
      <c r="T758" s="2"/>
      <c r="U758" s="34">
        <f t="shared" si="11"/>
        <v>0.86929999999999996</v>
      </c>
    </row>
    <row r="759" spans="1:21" x14ac:dyDescent="0.2">
      <c r="A759" s="18" t="s">
        <v>2289</v>
      </c>
      <c r="B759" s="19" t="s">
        <v>2290</v>
      </c>
      <c r="C759" s="19" t="s">
        <v>2291</v>
      </c>
      <c r="D759" s="20">
        <v>0.5695869467500001</v>
      </c>
      <c r="E759" s="20">
        <v>10.220728223</v>
      </c>
      <c r="F759" s="1">
        <v>0.46141552773629613</v>
      </c>
      <c r="G759" s="42"/>
      <c r="H759" s="43" t="s">
        <v>187</v>
      </c>
      <c r="J759" s="44"/>
      <c r="K759" s="35">
        <v>0</v>
      </c>
      <c r="L759" s="35">
        <v>0.96779999999999999</v>
      </c>
      <c r="M759" s="35">
        <v>3.2000000000000002E-3</v>
      </c>
      <c r="N759" s="21" t="s">
        <v>187</v>
      </c>
      <c r="Q759" s="22"/>
      <c r="R759" s="2"/>
      <c r="S759" s="2"/>
      <c r="T759" s="2"/>
      <c r="U759" s="34">
        <f t="shared" si="11"/>
        <v>0.96779999999999999</v>
      </c>
    </row>
    <row r="760" spans="1:21" x14ac:dyDescent="0.2">
      <c r="A760" s="18" t="s">
        <v>2293</v>
      </c>
      <c r="B760" s="19" t="s">
        <v>2294</v>
      </c>
      <c r="C760" s="19" t="s">
        <v>2295</v>
      </c>
      <c r="D760" s="20">
        <v>0.21598272099999999</v>
      </c>
      <c r="E760" s="20">
        <v>3.4062448075000002</v>
      </c>
      <c r="F760" s="1">
        <v>0</v>
      </c>
      <c r="G760" s="42"/>
      <c r="I760" s="49" t="s">
        <v>187</v>
      </c>
      <c r="J760" s="44"/>
      <c r="K760" s="35">
        <v>0</v>
      </c>
      <c r="L760" s="35">
        <v>0.67410000000000003</v>
      </c>
      <c r="M760" s="35">
        <v>0.15790000000000001</v>
      </c>
      <c r="N760" s="21" t="s">
        <v>187</v>
      </c>
      <c r="Q760" s="22"/>
      <c r="R760" s="2"/>
      <c r="S760" s="2"/>
      <c r="T760" s="2"/>
      <c r="U760" s="34">
        <f t="shared" si="11"/>
        <v>0.67410000000000003</v>
      </c>
    </row>
    <row r="761" spans="1:21" x14ac:dyDescent="0.2">
      <c r="A761" s="18" t="s">
        <v>2296</v>
      </c>
      <c r="B761" s="19" t="s">
        <v>2297</v>
      </c>
      <c r="C761" s="19" t="s">
        <v>2298</v>
      </c>
      <c r="D761" s="20">
        <v>0.18568596775000001</v>
      </c>
      <c r="E761" s="20">
        <v>0.10985128799999999</v>
      </c>
      <c r="F761" s="1">
        <v>0.40693514012402354</v>
      </c>
      <c r="G761" s="42"/>
      <c r="I761" s="43" t="s">
        <v>187</v>
      </c>
      <c r="J761" s="44"/>
      <c r="K761" s="35">
        <v>0</v>
      </c>
      <c r="L761" s="35">
        <v>0</v>
      </c>
      <c r="M761" s="35">
        <v>0.93859999999999999</v>
      </c>
      <c r="N761" s="21"/>
      <c r="O761" s="2" t="s">
        <v>187</v>
      </c>
      <c r="Q761" s="22"/>
      <c r="R761" s="2"/>
      <c r="S761" s="2"/>
      <c r="T761" s="2"/>
      <c r="U761" s="34">
        <f t="shared" si="11"/>
        <v>0.93859999999999999</v>
      </c>
    </row>
    <row r="762" spans="1:21" x14ac:dyDescent="0.2">
      <c r="A762" s="18" t="s">
        <v>2300</v>
      </c>
      <c r="B762" s="19" t="s">
        <v>2301</v>
      </c>
      <c r="C762" s="19" t="s">
        <v>2302</v>
      </c>
      <c r="D762" s="20">
        <v>2.6159530236666666</v>
      </c>
      <c r="E762" s="20">
        <v>5.6400527729999999</v>
      </c>
      <c r="F762" s="1">
        <v>1.9535068996935205</v>
      </c>
      <c r="G762" s="42"/>
      <c r="J762" s="44" t="s">
        <v>187</v>
      </c>
      <c r="K762" s="35">
        <v>6.6299999999999998E-2</v>
      </c>
      <c r="L762" s="35">
        <v>0.33939999999999998</v>
      </c>
      <c r="M762" s="35">
        <v>0</v>
      </c>
      <c r="N762" s="21"/>
      <c r="Q762" s="22"/>
      <c r="R762" s="2"/>
      <c r="S762" s="2"/>
      <c r="T762" s="2"/>
      <c r="U762" s="34">
        <f t="shared" si="11"/>
        <v>0.33939999999999998</v>
      </c>
    </row>
    <row r="763" spans="1:21" x14ac:dyDescent="0.2">
      <c r="A763" s="18" t="s">
        <v>1745</v>
      </c>
      <c r="B763" s="19" t="s">
        <v>2303</v>
      </c>
      <c r="C763" s="19" t="s">
        <v>2304</v>
      </c>
      <c r="D763" s="20">
        <v>0.264396305</v>
      </c>
      <c r="E763" s="20">
        <v>0.378759185</v>
      </c>
      <c r="F763" s="1">
        <v>0.63600518687955931</v>
      </c>
      <c r="G763" s="42"/>
      <c r="I763" s="43" t="s">
        <v>187</v>
      </c>
      <c r="J763" s="44"/>
      <c r="K763" s="35">
        <v>0</v>
      </c>
      <c r="L763" s="35">
        <v>0</v>
      </c>
      <c r="M763" s="35">
        <v>0.96519999999999995</v>
      </c>
      <c r="N763" s="21"/>
      <c r="O763" s="2" t="s">
        <v>187</v>
      </c>
      <c r="Q763" s="22"/>
      <c r="R763" s="2"/>
      <c r="S763" s="2"/>
      <c r="T763" s="2"/>
      <c r="U763" s="34">
        <f t="shared" si="11"/>
        <v>0.96519999999999995</v>
      </c>
    </row>
    <row r="764" spans="1:21" x14ac:dyDescent="0.2">
      <c r="A764" s="18" t="s">
        <v>2305</v>
      </c>
      <c r="B764" s="19" t="s">
        <v>2306</v>
      </c>
      <c r="C764" s="19" t="s">
        <v>2307</v>
      </c>
      <c r="D764" s="20">
        <v>0.23696139800000002</v>
      </c>
      <c r="E764" s="20">
        <v>0.29339615699999999</v>
      </c>
      <c r="F764" s="1">
        <v>1.7303082290120024</v>
      </c>
      <c r="G764" s="42"/>
      <c r="I764" s="43" t="s">
        <v>187</v>
      </c>
      <c r="J764" s="44"/>
      <c r="K764" s="35">
        <v>0</v>
      </c>
      <c r="L764" s="35">
        <v>0</v>
      </c>
      <c r="M764" s="35">
        <v>0.96350000000000002</v>
      </c>
      <c r="N764" s="21"/>
      <c r="O764" s="2" t="s">
        <v>187</v>
      </c>
      <c r="Q764" s="22"/>
      <c r="R764" s="2"/>
      <c r="S764" s="2"/>
      <c r="T764" s="2"/>
      <c r="U764" s="34">
        <f t="shared" si="11"/>
        <v>0.96350000000000002</v>
      </c>
    </row>
    <row r="765" spans="1:21" x14ac:dyDescent="0.2">
      <c r="A765" s="18" t="s">
        <v>2309</v>
      </c>
      <c r="B765" s="19" t="s">
        <v>2310</v>
      </c>
      <c r="C765" s="19" t="s">
        <v>2311</v>
      </c>
      <c r="D765" s="20">
        <v>15.19262692</v>
      </c>
      <c r="E765" s="20">
        <v>35.679000000000002</v>
      </c>
      <c r="F765" s="1">
        <v>0.60953378958086435</v>
      </c>
      <c r="G765" s="42" t="s">
        <v>187</v>
      </c>
      <c r="J765" s="44"/>
      <c r="K765" s="35">
        <v>0.9304</v>
      </c>
      <c r="L765" s="35">
        <v>8.2000000000000007E-3</v>
      </c>
      <c r="M765" s="35">
        <v>0</v>
      </c>
      <c r="N765" s="21"/>
      <c r="Q765" s="22" t="s">
        <v>187</v>
      </c>
      <c r="R765" s="2"/>
      <c r="S765" s="2"/>
      <c r="T765" s="2"/>
      <c r="U765" s="34">
        <f t="shared" si="11"/>
        <v>0.9304</v>
      </c>
    </row>
    <row r="766" spans="1:21" x14ac:dyDescent="0.2">
      <c r="A766" s="18" t="s">
        <v>1555</v>
      </c>
      <c r="B766" s="19" t="s">
        <v>2312</v>
      </c>
      <c r="C766" s="19" t="s">
        <v>2313</v>
      </c>
      <c r="D766" s="20">
        <v>0.21374862575</v>
      </c>
      <c r="E766" s="20">
        <v>0.25561121200000003</v>
      </c>
      <c r="F766" s="1">
        <v>0.10308219236659555</v>
      </c>
      <c r="G766" s="42"/>
      <c r="I766" s="43" t="s">
        <v>187</v>
      </c>
      <c r="J766" s="44"/>
      <c r="K766" s="35">
        <v>0</v>
      </c>
      <c r="L766" s="35">
        <v>0</v>
      </c>
      <c r="M766" s="35">
        <v>0.95779999999999998</v>
      </c>
      <c r="N766" s="21"/>
      <c r="O766" s="2" t="s">
        <v>187</v>
      </c>
      <c r="Q766" s="22"/>
      <c r="R766" s="2"/>
      <c r="S766" s="2"/>
      <c r="T766" s="2"/>
      <c r="U766" s="34">
        <f t="shared" si="11"/>
        <v>0.95779999999999998</v>
      </c>
    </row>
    <row r="767" spans="1:21" x14ac:dyDescent="0.2">
      <c r="A767" s="18" t="s">
        <v>2314</v>
      </c>
      <c r="B767" s="19" t="s">
        <v>2315</v>
      </c>
      <c r="C767" s="19" t="s">
        <v>2316</v>
      </c>
      <c r="D767" s="20">
        <v>2.8491873470000004</v>
      </c>
      <c r="E767" s="20">
        <v>5.3972476173333321</v>
      </c>
      <c r="F767" s="1">
        <v>45.757142381280154</v>
      </c>
      <c r="G767" s="42"/>
      <c r="J767" s="44" t="s">
        <v>187</v>
      </c>
      <c r="K767" s="35">
        <v>7.6600000000000001E-2</v>
      </c>
      <c r="L767" s="35">
        <v>0.22309999999999999</v>
      </c>
      <c r="M767" s="35">
        <v>0</v>
      </c>
      <c r="N767" s="21"/>
      <c r="Q767" s="22"/>
      <c r="R767" s="2"/>
      <c r="S767" s="2"/>
      <c r="T767" s="2"/>
      <c r="U767" s="34">
        <f t="shared" si="11"/>
        <v>0.22309999999999999</v>
      </c>
    </row>
    <row r="768" spans="1:21" x14ac:dyDescent="0.2">
      <c r="A768" s="18" t="s">
        <v>2317</v>
      </c>
      <c r="B768" s="19" t="s">
        <v>2318</v>
      </c>
      <c r="C768" s="19" t="s">
        <v>2319</v>
      </c>
      <c r="D768" s="20">
        <v>1.0881718883333333</v>
      </c>
      <c r="E768" s="20">
        <v>1.8096000000000001</v>
      </c>
      <c r="F768" s="1">
        <v>1.721271813715987</v>
      </c>
      <c r="G768" s="42"/>
      <c r="J768" s="44" t="s">
        <v>187</v>
      </c>
      <c r="K768" s="35">
        <v>0</v>
      </c>
      <c r="L768" s="35">
        <v>8.2000000000000007E-3</v>
      </c>
      <c r="M768" s="35">
        <v>0.22559999999999999</v>
      </c>
      <c r="N768" s="21"/>
      <c r="Q768" s="22"/>
      <c r="R768" s="2"/>
      <c r="S768" s="2"/>
      <c r="T768" s="2"/>
      <c r="U768" s="34">
        <f t="shared" si="11"/>
        <v>0.22559999999999999</v>
      </c>
    </row>
    <row r="769" spans="1:21" x14ac:dyDescent="0.2">
      <c r="A769" s="18" t="s">
        <v>2322</v>
      </c>
      <c r="B769" s="19" t="s">
        <v>2323</v>
      </c>
      <c r="C769" s="19" t="s">
        <v>2324</v>
      </c>
      <c r="D769" s="20">
        <v>0.46765866575000004</v>
      </c>
      <c r="E769" s="20">
        <v>10.598658284999999</v>
      </c>
      <c r="F769" s="1">
        <v>2.7684931664165218</v>
      </c>
      <c r="G769" s="42"/>
      <c r="H769" s="43" t="s">
        <v>187</v>
      </c>
      <c r="J769" s="44"/>
      <c r="K769" s="35">
        <v>0</v>
      </c>
      <c r="L769" s="35">
        <v>0.96099999999999997</v>
      </c>
      <c r="M769" s="35">
        <v>4.3E-3</v>
      </c>
      <c r="N769" s="21"/>
      <c r="O769" s="2" t="s">
        <v>187</v>
      </c>
      <c r="Q769" s="22"/>
      <c r="R769" s="2"/>
      <c r="S769" s="2"/>
      <c r="T769" s="2"/>
      <c r="U769" s="34">
        <f t="shared" si="11"/>
        <v>0.96099999999999997</v>
      </c>
    </row>
    <row r="770" spans="1:21" x14ac:dyDescent="0.2">
      <c r="A770" s="18" t="s">
        <v>2326</v>
      </c>
      <c r="B770" s="19" t="s">
        <v>2327</v>
      </c>
      <c r="C770" s="19" t="s">
        <v>2328</v>
      </c>
      <c r="D770" s="20">
        <v>1.7832248655</v>
      </c>
      <c r="E770" s="20">
        <v>3.7142497245000001</v>
      </c>
      <c r="F770" s="1">
        <v>3.5493502133552242E-2</v>
      </c>
      <c r="G770" s="42"/>
      <c r="J770" s="44" t="s">
        <v>187</v>
      </c>
      <c r="K770" s="35">
        <v>5.9999999999999995E-4</v>
      </c>
      <c r="L770" s="35">
        <v>0.1928</v>
      </c>
      <c r="M770" s="35">
        <v>3.0000000000000001E-3</v>
      </c>
      <c r="N770" s="21"/>
      <c r="Q770" s="22"/>
      <c r="R770" s="2"/>
      <c r="S770" s="2"/>
      <c r="T770" s="2"/>
      <c r="U770" s="34">
        <f t="shared" ref="U770:U833" si="12">MAX(K770:M770)</f>
        <v>0.1928</v>
      </c>
    </row>
    <row r="771" spans="1:21" x14ac:dyDescent="0.2">
      <c r="A771" s="18" t="s">
        <v>2330</v>
      </c>
      <c r="B771" s="19" t="s">
        <v>2331</v>
      </c>
      <c r="C771" s="19" t="s">
        <v>2332</v>
      </c>
      <c r="D771" s="20">
        <v>3.1498131947500001</v>
      </c>
      <c r="E771" s="20">
        <v>13.570305635</v>
      </c>
      <c r="F771" s="1">
        <v>0</v>
      </c>
      <c r="G771" s="42" t="s">
        <v>187</v>
      </c>
      <c r="J771" s="44"/>
      <c r="K771" s="35">
        <v>0.46510000000000001</v>
      </c>
      <c r="L771" s="35">
        <v>0.47310000000000002</v>
      </c>
      <c r="M771" s="35">
        <v>0</v>
      </c>
      <c r="N771" s="21"/>
      <c r="Q771" s="22" t="s">
        <v>187</v>
      </c>
      <c r="R771" s="2"/>
      <c r="S771" s="2"/>
      <c r="T771" s="2"/>
      <c r="U771" s="34">
        <f t="shared" si="12"/>
        <v>0.47310000000000002</v>
      </c>
    </row>
    <row r="772" spans="1:21" x14ac:dyDescent="0.2">
      <c r="A772" s="18" t="s">
        <v>2333</v>
      </c>
      <c r="B772" s="19" t="s">
        <v>2334</v>
      </c>
      <c r="C772" s="19" t="s">
        <v>2335</v>
      </c>
      <c r="D772" s="20">
        <v>0.48805329850000001</v>
      </c>
      <c r="E772" s="20">
        <v>0.47638000000000003</v>
      </c>
      <c r="F772" s="1">
        <v>0</v>
      </c>
      <c r="G772" s="42"/>
      <c r="I772" s="43" t="s">
        <v>187</v>
      </c>
      <c r="J772" s="44"/>
      <c r="K772" s="35">
        <v>0</v>
      </c>
      <c r="L772" s="35">
        <v>0</v>
      </c>
      <c r="M772" s="35">
        <v>0.94920000000000004</v>
      </c>
      <c r="N772" s="21"/>
      <c r="O772" s="2" t="s">
        <v>187</v>
      </c>
      <c r="Q772" s="22"/>
      <c r="R772" s="2"/>
      <c r="S772" s="2"/>
      <c r="T772" s="2"/>
      <c r="U772" s="34">
        <f t="shared" si="12"/>
        <v>0.94920000000000004</v>
      </c>
    </row>
    <row r="773" spans="1:21" x14ac:dyDescent="0.2">
      <c r="A773" s="18" t="s">
        <v>2336</v>
      </c>
      <c r="B773" s="19" t="s">
        <v>2337</v>
      </c>
      <c r="C773" s="19" t="s">
        <v>2338</v>
      </c>
      <c r="D773" s="20">
        <v>0.43469631674999998</v>
      </c>
      <c r="E773" s="20">
        <v>9.057278160000001</v>
      </c>
      <c r="F773" s="1">
        <v>0.16423264546539035</v>
      </c>
      <c r="G773" s="42"/>
      <c r="H773" s="43" t="s">
        <v>187</v>
      </c>
      <c r="J773" s="44"/>
      <c r="K773" s="35">
        <v>0</v>
      </c>
      <c r="L773" s="35">
        <v>0.95660000000000001</v>
      </c>
      <c r="M773" s="35">
        <v>7.3000000000000001E-3</v>
      </c>
      <c r="N773" s="21"/>
      <c r="O773" s="2" t="s">
        <v>187</v>
      </c>
      <c r="Q773" s="22"/>
      <c r="R773" s="2"/>
      <c r="S773" s="2"/>
      <c r="T773" s="2"/>
      <c r="U773" s="34">
        <f t="shared" si="12"/>
        <v>0.95660000000000001</v>
      </c>
    </row>
    <row r="774" spans="1:21" x14ac:dyDescent="0.2">
      <c r="A774" s="18" t="s">
        <v>2339</v>
      </c>
      <c r="B774" s="19" t="s">
        <v>2340</v>
      </c>
      <c r="C774" s="19" t="s">
        <v>2341</v>
      </c>
      <c r="D774" s="20">
        <v>3.8532999999999999</v>
      </c>
      <c r="E774" s="20">
        <v>7.1136999999999997</v>
      </c>
      <c r="F774" s="1">
        <v>6.9355274545322684E-2</v>
      </c>
      <c r="G774" s="24" t="s">
        <v>187</v>
      </c>
      <c r="J774" s="44"/>
      <c r="K774" s="35">
        <v>0.52880000000000005</v>
      </c>
      <c r="L774" s="35">
        <v>0.12770000000000001</v>
      </c>
      <c r="M774" s="35">
        <v>0</v>
      </c>
      <c r="N774" s="21"/>
      <c r="Q774" s="22" t="s">
        <v>187</v>
      </c>
      <c r="R774" s="2"/>
      <c r="S774" s="2"/>
      <c r="T774" s="2"/>
      <c r="U774" s="34">
        <f t="shared" si="12"/>
        <v>0.52880000000000005</v>
      </c>
    </row>
    <row r="775" spans="1:21" x14ac:dyDescent="0.2">
      <c r="A775" s="18" t="s">
        <v>2342</v>
      </c>
      <c r="B775" s="19" t="s">
        <v>2343</v>
      </c>
      <c r="C775" s="19" t="s">
        <v>2344</v>
      </c>
      <c r="D775" s="20">
        <v>0.39467003025000003</v>
      </c>
      <c r="E775" s="20" t="s">
        <v>689</v>
      </c>
      <c r="F775" s="1">
        <v>0.98874755943545212</v>
      </c>
      <c r="G775" s="42"/>
      <c r="I775" s="43" t="s">
        <v>187</v>
      </c>
      <c r="J775" s="44"/>
      <c r="K775" s="35" t="e">
        <v>#N/A</v>
      </c>
      <c r="L775" s="35" t="e">
        <v>#N/A</v>
      </c>
      <c r="M775" s="35" t="e">
        <v>#N/A</v>
      </c>
      <c r="N775" s="21"/>
      <c r="O775" s="2" t="s">
        <v>187</v>
      </c>
      <c r="Q775" s="22"/>
      <c r="R775" s="2"/>
      <c r="S775" s="2"/>
      <c r="T775" s="2"/>
      <c r="U775" s="34" t="e">
        <f t="shared" si="12"/>
        <v>#N/A</v>
      </c>
    </row>
    <row r="776" spans="1:21" x14ac:dyDescent="0.2">
      <c r="A776" s="18" t="s">
        <v>2345</v>
      </c>
      <c r="B776" s="19" t="s">
        <v>2346</v>
      </c>
      <c r="C776" s="19" t="s">
        <v>2347</v>
      </c>
      <c r="D776" s="20">
        <v>1.3388135430000001</v>
      </c>
      <c r="E776" s="20">
        <v>20.298798309999999</v>
      </c>
      <c r="F776" s="1">
        <v>0</v>
      </c>
      <c r="G776" s="42"/>
      <c r="H776" s="43" t="s">
        <v>187</v>
      </c>
      <c r="J776" s="44"/>
      <c r="K776" s="35">
        <v>3.0999999999999999E-3</v>
      </c>
      <c r="L776" s="35">
        <v>0.96579999999999999</v>
      </c>
      <c r="M776" s="35">
        <v>0</v>
      </c>
      <c r="N776" s="21"/>
      <c r="O776" s="2" t="s">
        <v>187</v>
      </c>
      <c r="Q776" s="22"/>
      <c r="R776" s="2"/>
      <c r="S776" s="2"/>
      <c r="T776" s="2"/>
      <c r="U776" s="34">
        <f t="shared" si="12"/>
        <v>0.96579999999999999</v>
      </c>
    </row>
    <row r="777" spans="1:21" x14ac:dyDescent="0.2">
      <c r="A777" s="18" t="s">
        <v>2348</v>
      </c>
      <c r="B777" s="19" t="s">
        <v>2349</v>
      </c>
      <c r="C777" s="19" t="s">
        <v>2350</v>
      </c>
      <c r="D777" s="20">
        <v>16.4563743675</v>
      </c>
      <c r="E777" s="20">
        <v>17.5927128525</v>
      </c>
      <c r="F777" s="1">
        <v>16.632587851381583</v>
      </c>
      <c r="G777" s="42" t="s">
        <v>187</v>
      </c>
      <c r="J777" s="44"/>
      <c r="K777" s="35">
        <v>0.98209999999999997</v>
      </c>
      <c r="L777" s="35">
        <v>2.0000000000000001E-4</v>
      </c>
      <c r="M777" s="35">
        <v>0</v>
      </c>
      <c r="N777" s="21"/>
      <c r="P777" s="2" t="s">
        <v>187</v>
      </c>
      <c r="Q777" s="22"/>
      <c r="R777" s="2"/>
      <c r="S777" s="2"/>
      <c r="T777" s="2"/>
      <c r="U777" s="34">
        <f t="shared" si="12"/>
        <v>0.98209999999999997</v>
      </c>
    </row>
    <row r="778" spans="1:21" x14ac:dyDescent="0.2">
      <c r="A778" s="18" t="s">
        <v>2351</v>
      </c>
      <c r="B778" s="19" t="s">
        <v>2352</v>
      </c>
      <c r="C778" s="19" t="s">
        <v>2353</v>
      </c>
      <c r="D778" s="20">
        <v>21.64418139</v>
      </c>
      <c r="E778" s="20">
        <v>23.568268737499999</v>
      </c>
      <c r="F778" s="1">
        <v>0.93034247104054391</v>
      </c>
      <c r="G778" s="42" t="s">
        <v>187</v>
      </c>
      <c r="J778" s="44"/>
      <c r="K778" s="35">
        <v>0.96830000000000005</v>
      </c>
      <c r="L778" s="35">
        <v>2.0000000000000001E-4</v>
      </c>
      <c r="M778" s="35">
        <v>0</v>
      </c>
      <c r="N778" s="21"/>
      <c r="Q778" s="22" t="s">
        <v>187</v>
      </c>
      <c r="R778" s="2"/>
      <c r="S778" s="2"/>
      <c r="T778" s="2"/>
      <c r="U778" s="34">
        <f t="shared" si="12"/>
        <v>0.96830000000000005</v>
      </c>
    </row>
    <row r="779" spans="1:21" x14ac:dyDescent="0.2">
      <c r="A779" s="18" t="s">
        <v>2355</v>
      </c>
      <c r="B779" s="19" t="s">
        <v>2356</v>
      </c>
      <c r="C779" s="19" t="s">
        <v>2357</v>
      </c>
      <c r="D779" s="20">
        <v>0.34903122133333336</v>
      </c>
      <c r="E779" s="20">
        <v>0.53848071750000004</v>
      </c>
      <c r="F779" s="1">
        <v>6.9212329160587033E-2</v>
      </c>
      <c r="G779" s="42"/>
      <c r="I779" s="43" t="s">
        <v>187</v>
      </c>
      <c r="J779" s="44"/>
      <c r="K779" s="35">
        <v>0</v>
      </c>
      <c r="L779" s="35">
        <v>0</v>
      </c>
      <c r="M779" s="35">
        <v>0.9627</v>
      </c>
      <c r="N779" s="21"/>
      <c r="O779" s="2" t="s">
        <v>187</v>
      </c>
      <c r="Q779" s="22"/>
      <c r="R779" s="2"/>
      <c r="S779" s="2"/>
      <c r="T779" s="2"/>
      <c r="U779" s="34">
        <f t="shared" si="12"/>
        <v>0.9627</v>
      </c>
    </row>
    <row r="780" spans="1:21" x14ac:dyDescent="0.2">
      <c r="A780" s="18" t="s">
        <v>2358</v>
      </c>
      <c r="B780" s="19" t="s">
        <v>2359</v>
      </c>
      <c r="C780" s="19" t="s">
        <v>813</v>
      </c>
      <c r="D780" s="20">
        <v>1.4807568146666668</v>
      </c>
      <c r="E780" s="20">
        <v>5.6991435854999999</v>
      </c>
      <c r="F780" s="1">
        <v>6.2920299236734423E-2</v>
      </c>
      <c r="G780" s="42"/>
      <c r="H780" s="49" t="s">
        <v>187</v>
      </c>
      <c r="J780" s="44"/>
      <c r="K780" s="35">
        <v>2E-3</v>
      </c>
      <c r="L780" s="35">
        <v>0.79200000000000004</v>
      </c>
      <c r="M780" s="35">
        <v>1.5E-3</v>
      </c>
      <c r="N780" s="21"/>
      <c r="O780" s="2" t="s">
        <v>187</v>
      </c>
      <c r="Q780" s="22"/>
      <c r="R780" s="2"/>
      <c r="S780" s="2"/>
      <c r="T780" s="2"/>
      <c r="U780" s="34">
        <f t="shared" si="12"/>
        <v>0.79200000000000004</v>
      </c>
    </row>
    <row r="781" spans="1:21" x14ac:dyDescent="0.2">
      <c r="A781" s="18" t="s">
        <v>2354</v>
      </c>
      <c r="B781" s="19" t="s">
        <v>2361</v>
      </c>
      <c r="C781" s="19" t="s">
        <v>2362</v>
      </c>
      <c r="D781" s="20">
        <v>0.44275999999999999</v>
      </c>
      <c r="E781" s="20">
        <v>0.30706</v>
      </c>
      <c r="F781" s="1">
        <v>4.6654236693309565</v>
      </c>
      <c r="G781" s="42"/>
      <c r="I781" s="43" t="s">
        <v>187</v>
      </c>
      <c r="J781" s="44"/>
      <c r="K781" s="35">
        <v>0</v>
      </c>
      <c r="L781" s="35">
        <v>0</v>
      </c>
      <c r="M781" s="35">
        <v>0.96140000000000003</v>
      </c>
      <c r="N781" s="21" t="s">
        <v>187</v>
      </c>
      <c r="Q781" s="22"/>
      <c r="R781" s="2"/>
      <c r="S781" s="2"/>
      <c r="T781" s="2"/>
      <c r="U781" s="34">
        <f t="shared" si="12"/>
        <v>0.96140000000000003</v>
      </c>
    </row>
    <row r="782" spans="1:21" x14ac:dyDescent="0.2">
      <c r="A782" s="18" t="s">
        <v>2363</v>
      </c>
      <c r="B782" s="19" t="s">
        <v>2364</v>
      </c>
      <c r="C782" s="19" t="s">
        <v>2365</v>
      </c>
      <c r="D782" s="20">
        <v>0.42503125900000005</v>
      </c>
      <c r="E782" s="20">
        <v>14.213124727499999</v>
      </c>
      <c r="F782" s="1">
        <v>1.1073972665687626</v>
      </c>
      <c r="G782" s="42"/>
      <c r="H782" s="43" t="s">
        <v>187</v>
      </c>
      <c r="J782" s="44"/>
      <c r="K782" s="35">
        <v>0</v>
      </c>
      <c r="L782" s="35">
        <v>0.94240000000000002</v>
      </c>
      <c r="M782" s="35">
        <v>2.8999999999999998E-3</v>
      </c>
      <c r="N782" s="21"/>
      <c r="O782" s="2" t="s">
        <v>187</v>
      </c>
      <c r="Q782" s="22"/>
      <c r="R782" s="2"/>
      <c r="S782" s="2"/>
      <c r="T782" s="2"/>
      <c r="U782" s="34">
        <f t="shared" si="12"/>
        <v>0.94240000000000002</v>
      </c>
    </row>
    <row r="783" spans="1:21" x14ac:dyDescent="0.2">
      <c r="A783" s="18" t="s">
        <v>2366</v>
      </c>
      <c r="B783" s="19" t="s">
        <v>2367</v>
      </c>
      <c r="C783" s="19" t="s">
        <v>2368</v>
      </c>
      <c r="D783" s="20">
        <v>5.2683617754999998</v>
      </c>
      <c r="E783" s="20">
        <v>9.1461897089999997</v>
      </c>
      <c r="F783" s="1" t="s">
        <v>47</v>
      </c>
      <c r="G783" s="42" t="s">
        <v>187</v>
      </c>
      <c r="J783" s="44"/>
      <c r="K783" s="35">
        <v>0.88560000000000005</v>
      </c>
      <c r="L783" s="35">
        <v>2.6700000000000002E-2</v>
      </c>
      <c r="M783" s="35">
        <v>0</v>
      </c>
      <c r="N783" s="21"/>
      <c r="Q783" s="22" t="s">
        <v>187</v>
      </c>
      <c r="R783" s="2"/>
      <c r="S783" s="2"/>
      <c r="T783" s="2"/>
      <c r="U783" s="34">
        <f t="shared" si="12"/>
        <v>0.88560000000000005</v>
      </c>
    </row>
    <row r="784" spans="1:21" x14ac:dyDescent="0.2">
      <c r="A784" s="18" t="s">
        <v>1853</v>
      </c>
      <c r="B784" s="19" t="s">
        <v>2371</v>
      </c>
      <c r="C784" s="19" t="s">
        <v>2372</v>
      </c>
      <c r="D784" s="20">
        <v>0.39783030733333336</v>
      </c>
      <c r="E784" s="20">
        <v>2.1698973956666667</v>
      </c>
      <c r="F784" s="1">
        <v>0.90161856908880633</v>
      </c>
      <c r="G784" s="42"/>
      <c r="I784" s="43" t="s">
        <v>187</v>
      </c>
      <c r="J784" s="44"/>
      <c r="K784" s="35">
        <v>0</v>
      </c>
      <c r="L784" s="35">
        <v>8.5699999999999998E-2</v>
      </c>
      <c r="M784" s="35">
        <v>0.76190000000000002</v>
      </c>
      <c r="N784" s="21"/>
      <c r="O784" s="2" t="s">
        <v>187</v>
      </c>
      <c r="Q784" s="22"/>
      <c r="R784" s="2"/>
      <c r="S784" s="2"/>
      <c r="T784" s="2"/>
      <c r="U784" s="34">
        <f t="shared" si="12"/>
        <v>0.76190000000000002</v>
      </c>
    </row>
    <row r="785" spans="1:21" x14ac:dyDescent="0.2">
      <c r="A785" s="18" t="s">
        <v>2374</v>
      </c>
      <c r="B785" s="19" t="s">
        <v>2375</v>
      </c>
      <c r="C785" s="19" t="s">
        <v>2376</v>
      </c>
      <c r="D785" s="20">
        <v>0.44531361774999995</v>
      </c>
      <c r="E785" s="20">
        <v>7.0670817166666664</v>
      </c>
      <c r="F785" s="1">
        <v>2.7048557072699508</v>
      </c>
      <c r="G785" s="42"/>
      <c r="H785" s="43" t="s">
        <v>187</v>
      </c>
      <c r="J785" s="44"/>
      <c r="K785" s="35">
        <v>0</v>
      </c>
      <c r="L785" s="35">
        <v>0.94469999999999998</v>
      </c>
      <c r="M785" s="35">
        <v>1.54E-2</v>
      </c>
      <c r="N785" s="21"/>
      <c r="O785" s="2" t="s">
        <v>187</v>
      </c>
      <c r="Q785" s="22"/>
      <c r="R785" s="2"/>
      <c r="S785" s="2"/>
      <c r="T785" s="2"/>
      <c r="U785" s="34">
        <f t="shared" si="12"/>
        <v>0.94469999999999998</v>
      </c>
    </row>
    <row r="786" spans="1:21" x14ac:dyDescent="0.2">
      <c r="A786" s="18" t="s">
        <v>2377</v>
      </c>
      <c r="B786" s="19" t="s">
        <v>2378</v>
      </c>
      <c r="C786" s="19" t="s">
        <v>2379</v>
      </c>
      <c r="D786" s="20">
        <v>6.3107308677500011</v>
      </c>
      <c r="E786" s="20">
        <v>2.8673934700000001</v>
      </c>
      <c r="F786" s="1">
        <v>7.856961816350335</v>
      </c>
      <c r="G786" s="42"/>
      <c r="J786" s="44" t="s">
        <v>187</v>
      </c>
      <c r="K786" s="35">
        <v>1.1999999999999999E-3</v>
      </c>
      <c r="L786" s="35">
        <v>0</v>
      </c>
      <c r="M786" s="35">
        <v>0</v>
      </c>
      <c r="N786" s="21"/>
      <c r="Q786" s="22"/>
      <c r="R786" s="2"/>
      <c r="S786" s="2"/>
      <c r="T786" s="2"/>
      <c r="U786" s="34">
        <f t="shared" si="12"/>
        <v>1.1999999999999999E-3</v>
      </c>
    </row>
    <row r="787" spans="1:21" x14ac:dyDescent="0.2">
      <c r="A787" s="18" t="s">
        <v>2380</v>
      </c>
      <c r="B787" s="19" t="s">
        <v>2381</v>
      </c>
      <c r="C787" s="19" t="s">
        <v>2382</v>
      </c>
      <c r="D787" s="23" t="s">
        <v>46</v>
      </c>
      <c r="E787" s="20">
        <v>0.113377399</v>
      </c>
      <c r="F787" s="1" t="s">
        <v>47</v>
      </c>
      <c r="G787" s="42"/>
      <c r="I787" s="49" t="s">
        <v>187</v>
      </c>
      <c r="J787" s="44"/>
      <c r="K787" s="35" t="e">
        <v>#N/A</v>
      </c>
      <c r="L787" s="35" t="e">
        <v>#N/A</v>
      </c>
      <c r="M787" s="35" t="e">
        <v>#N/A</v>
      </c>
      <c r="N787" s="21"/>
      <c r="O787" s="2" t="s">
        <v>187</v>
      </c>
      <c r="Q787" s="22"/>
      <c r="R787" s="2"/>
      <c r="S787" s="2"/>
      <c r="T787" s="2"/>
      <c r="U787" s="34" t="e">
        <f t="shared" si="12"/>
        <v>#N/A</v>
      </c>
    </row>
    <row r="788" spans="1:21" x14ac:dyDescent="0.2">
      <c r="A788" s="18" t="s">
        <v>2383</v>
      </c>
      <c r="B788" s="19" t="s">
        <v>2384</v>
      </c>
      <c r="C788" s="19" t="s">
        <v>2385</v>
      </c>
      <c r="D788" s="20">
        <v>3.8405118279999999</v>
      </c>
      <c r="E788" s="20">
        <v>25.464148985000001</v>
      </c>
      <c r="F788" s="1">
        <v>0.562604977407272</v>
      </c>
      <c r="G788" s="42" t="s">
        <v>187</v>
      </c>
      <c r="J788" s="44"/>
      <c r="K788" s="35">
        <v>0.45319999999999999</v>
      </c>
      <c r="L788" s="35">
        <v>0.49480000000000002</v>
      </c>
      <c r="M788" s="35">
        <v>0</v>
      </c>
      <c r="N788" s="21"/>
      <c r="Q788" s="22" t="s">
        <v>187</v>
      </c>
      <c r="R788" s="2"/>
      <c r="S788" s="2"/>
      <c r="T788" s="2"/>
      <c r="U788" s="34">
        <f t="shared" si="12"/>
        <v>0.49480000000000002</v>
      </c>
    </row>
    <row r="789" spans="1:21" x14ac:dyDescent="0.2">
      <c r="A789" s="18" t="s">
        <v>1849</v>
      </c>
      <c r="B789" s="19" t="s">
        <v>2386</v>
      </c>
      <c r="C789" s="19" t="s">
        <v>2387</v>
      </c>
      <c r="D789" s="20">
        <v>0.67724000000000006</v>
      </c>
      <c r="E789" s="20">
        <v>0.43057499999999999</v>
      </c>
      <c r="F789" s="1">
        <v>1.1721041398161434</v>
      </c>
      <c r="G789" s="42"/>
      <c r="I789" s="43" t="s">
        <v>187</v>
      </c>
      <c r="J789" s="44"/>
      <c r="K789" s="35">
        <v>0</v>
      </c>
      <c r="L789" s="35">
        <v>0</v>
      </c>
      <c r="M789" s="35">
        <v>0.88060000000000005</v>
      </c>
      <c r="N789" s="21"/>
      <c r="O789" s="2" t="s">
        <v>187</v>
      </c>
      <c r="Q789" s="22"/>
      <c r="R789" s="2"/>
      <c r="S789" s="2"/>
      <c r="T789" s="2"/>
      <c r="U789" s="34">
        <f t="shared" si="12"/>
        <v>0.88060000000000005</v>
      </c>
    </row>
    <row r="790" spans="1:21" x14ac:dyDescent="0.2">
      <c r="A790" s="18" t="s">
        <v>1717</v>
      </c>
      <c r="B790" s="19" t="s">
        <v>2388</v>
      </c>
      <c r="C790" s="19" t="s">
        <v>2389</v>
      </c>
      <c r="D790" s="20">
        <v>0.27236682466666667</v>
      </c>
      <c r="E790" s="20">
        <v>0.33788997766666667</v>
      </c>
      <c r="F790" s="1">
        <v>0.80570170003727282</v>
      </c>
      <c r="G790" s="42"/>
      <c r="I790" s="43" t="s">
        <v>187</v>
      </c>
      <c r="J790" s="44"/>
      <c r="K790" s="35">
        <v>0</v>
      </c>
      <c r="L790" s="35">
        <v>0</v>
      </c>
      <c r="M790" s="35">
        <v>0.96760000000000002</v>
      </c>
      <c r="N790" s="21"/>
      <c r="O790" s="2" t="s">
        <v>187</v>
      </c>
      <c r="Q790" s="22"/>
      <c r="R790" s="2"/>
      <c r="S790" s="2"/>
      <c r="T790" s="2"/>
      <c r="U790" s="34">
        <f t="shared" si="12"/>
        <v>0.96760000000000002</v>
      </c>
    </row>
    <row r="791" spans="1:21" x14ac:dyDescent="0.2">
      <c r="A791" s="18" t="s">
        <v>2390</v>
      </c>
      <c r="B791" s="19" t="s">
        <v>2391</v>
      </c>
      <c r="C791" s="19" t="s">
        <v>2392</v>
      </c>
      <c r="D791" s="20">
        <v>3.27744869125</v>
      </c>
      <c r="E791" s="20">
        <v>8.6545754630000005</v>
      </c>
      <c r="F791" s="1">
        <v>1.2770791057986191</v>
      </c>
      <c r="G791" s="42" t="s">
        <v>187</v>
      </c>
      <c r="J791" s="44"/>
      <c r="K791" s="35">
        <v>0.48380000000000001</v>
      </c>
      <c r="L791" s="35">
        <v>0.32619999999999999</v>
      </c>
      <c r="M791" s="35">
        <v>0</v>
      </c>
      <c r="N791" s="21"/>
      <c r="Q791" s="22" t="s">
        <v>187</v>
      </c>
      <c r="R791" s="2"/>
      <c r="S791" s="2"/>
      <c r="T791" s="2"/>
      <c r="U791" s="34">
        <f t="shared" si="12"/>
        <v>0.48380000000000001</v>
      </c>
    </row>
    <row r="792" spans="1:21" x14ac:dyDescent="0.2">
      <c r="A792" s="18" t="s">
        <v>2393</v>
      </c>
      <c r="B792" s="19" t="s">
        <v>2394</v>
      </c>
      <c r="C792" s="19" t="s">
        <v>2395</v>
      </c>
      <c r="D792" s="20">
        <v>0.27784792450000001</v>
      </c>
      <c r="E792" s="20">
        <v>1.7632604259999998</v>
      </c>
      <c r="F792" s="1">
        <v>0.90161856909038884</v>
      </c>
      <c r="G792" s="42"/>
      <c r="I792" s="43" t="s">
        <v>187</v>
      </c>
      <c r="J792" s="44"/>
      <c r="K792" s="35">
        <v>0</v>
      </c>
      <c r="L792" s="35">
        <v>3.8699999999999998E-2</v>
      </c>
      <c r="M792" s="35">
        <v>0.82199999999999995</v>
      </c>
      <c r="N792" s="21"/>
      <c r="O792" s="2" t="s">
        <v>187</v>
      </c>
      <c r="Q792" s="22"/>
      <c r="R792" s="2"/>
      <c r="S792" s="2"/>
      <c r="T792" s="2"/>
      <c r="U792" s="34">
        <f t="shared" si="12"/>
        <v>0.82199999999999995</v>
      </c>
    </row>
    <row r="793" spans="1:21" x14ac:dyDescent="0.2">
      <c r="A793" s="18" t="s">
        <v>2398</v>
      </c>
      <c r="B793" s="19" t="s">
        <v>2399</v>
      </c>
      <c r="C793" s="19" t="s">
        <v>2400</v>
      </c>
      <c r="D793" s="20">
        <v>4.2313307734999999</v>
      </c>
      <c r="E793" s="20">
        <v>6.6156714460000003</v>
      </c>
      <c r="F793" s="1">
        <v>1.2823019649264067</v>
      </c>
      <c r="G793" s="24" t="s">
        <v>187</v>
      </c>
      <c r="J793" s="44"/>
      <c r="K793" s="35">
        <v>0.51859999999999995</v>
      </c>
      <c r="L793" s="35">
        <v>6.8500000000000005E-2</v>
      </c>
      <c r="M793" s="35">
        <v>0</v>
      </c>
      <c r="N793" s="21"/>
      <c r="Q793" s="22" t="s">
        <v>187</v>
      </c>
      <c r="R793" s="2"/>
      <c r="S793" s="2"/>
      <c r="T793" s="2"/>
      <c r="U793" s="34">
        <f t="shared" si="12"/>
        <v>0.51859999999999995</v>
      </c>
    </row>
    <row r="794" spans="1:21" x14ac:dyDescent="0.2">
      <c r="A794" s="18" t="s">
        <v>2299</v>
      </c>
      <c r="B794" s="19" t="s">
        <v>2402</v>
      </c>
      <c r="C794" s="19" t="s">
        <v>2403</v>
      </c>
      <c r="D794" s="20">
        <v>0.27849789274999998</v>
      </c>
      <c r="E794" s="20">
        <v>0.19631000000000001</v>
      </c>
      <c r="F794" s="1">
        <v>1.5572774061095258</v>
      </c>
      <c r="G794" s="42"/>
      <c r="I794" s="43" t="s">
        <v>187</v>
      </c>
      <c r="J794" s="44"/>
      <c r="K794" s="35">
        <v>0</v>
      </c>
      <c r="L794" s="35">
        <v>0</v>
      </c>
      <c r="M794" s="35">
        <v>0.97009999999999996</v>
      </c>
      <c r="N794" s="21" t="s">
        <v>187</v>
      </c>
      <c r="Q794" s="22"/>
      <c r="R794" s="2"/>
      <c r="S794" s="2"/>
      <c r="T794" s="2"/>
      <c r="U794" s="34">
        <f t="shared" si="12"/>
        <v>0.97009999999999996</v>
      </c>
    </row>
    <row r="795" spans="1:21" x14ac:dyDescent="0.2">
      <c r="A795" s="18" t="s">
        <v>2404</v>
      </c>
      <c r="B795" s="19" t="s">
        <v>2405</v>
      </c>
      <c r="C795" s="19" t="s">
        <v>2406</v>
      </c>
      <c r="D795" s="20">
        <v>0.35942567174999995</v>
      </c>
      <c r="E795" s="20">
        <v>8.4776234390000003</v>
      </c>
      <c r="F795" s="1">
        <v>0.30053952302971815</v>
      </c>
      <c r="G795" s="42"/>
      <c r="H795" s="43" t="s">
        <v>187</v>
      </c>
      <c r="J795" s="44"/>
      <c r="K795" s="35">
        <v>0</v>
      </c>
      <c r="L795" s="35">
        <v>0.94479999999999997</v>
      </c>
      <c r="M795" s="35">
        <v>1.0500000000000001E-2</v>
      </c>
      <c r="N795" s="21"/>
      <c r="O795" s="2" t="s">
        <v>187</v>
      </c>
      <c r="Q795" s="22"/>
      <c r="R795" s="2"/>
      <c r="S795" s="2"/>
      <c r="T795" s="2"/>
      <c r="U795" s="34">
        <f t="shared" si="12"/>
        <v>0.94479999999999997</v>
      </c>
    </row>
    <row r="796" spans="1:21" x14ac:dyDescent="0.2">
      <c r="A796" s="18" t="s">
        <v>2409</v>
      </c>
      <c r="B796" s="19" t="s">
        <v>2410</v>
      </c>
      <c r="C796" s="19" t="s">
        <v>2411</v>
      </c>
      <c r="D796" s="20">
        <v>24.483876609999999</v>
      </c>
      <c r="E796" s="20">
        <v>23.427766469999998</v>
      </c>
      <c r="F796" s="1">
        <v>0.5267486998059947</v>
      </c>
      <c r="G796" s="42" t="s">
        <v>187</v>
      </c>
      <c r="J796" s="44"/>
      <c r="K796" s="35">
        <v>0.95950000000000002</v>
      </c>
      <c r="L796" s="35">
        <v>1E-4</v>
      </c>
      <c r="M796" s="35">
        <v>0</v>
      </c>
      <c r="N796" s="21"/>
      <c r="Q796" s="22" t="s">
        <v>187</v>
      </c>
      <c r="R796" s="2"/>
      <c r="S796" s="2"/>
      <c r="T796" s="2"/>
      <c r="U796" s="34">
        <f t="shared" si="12"/>
        <v>0.95950000000000002</v>
      </c>
    </row>
    <row r="797" spans="1:21" x14ac:dyDescent="0.2">
      <c r="A797" s="18" t="s">
        <v>2413</v>
      </c>
      <c r="B797" s="19" t="s">
        <v>2414</v>
      </c>
      <c r="C797" s="19" t="s">
        <v>2415</v>
      </c>
      <c r="D797" s="20">
        <v>0.91938377800000004</v>
      </c>
      <c r="E797" s="20">
        <v>2.4810563219999997</v>
      </c>
      <c r="F797" s="1">
        <v>0.69212329160399422</v>
      </c>
      <c r="G797" s="42"/>
      <c r="J797" s="44" t="s">
        <v>187</v>
      </c>
      <c r="K797" s="35">
        <v>0</v>
      </c>
      <c r="L797" s="35">
        <v>0.114</v>
      </c>
      <c r="M797" s="35">
        <v>0.2838</v>
      </c>
      <c r="N797" s="21"/>
      <c r="Q797" s="22"/>
      <c r="R797" s="2"/>
      <c r="S797" s="2"/>
      <c r="T797" s="2"/>
      <c r="U797" s="34">
        <f t="shared" si="12"/>
        <v>0.2838</v>
      </c>
    </row>
    <row r="798" spans="1:21" x14ac:dyDescent="0.2">
      <c r="A798" s="18" t="s">
        <v>2416</v>
      </c>
      <c r="B798" s="19" t="s">
        <v>2417</v>
      </c>
      <c r="C798" s="19" t="s">
        <v>2418</v>
      </c>
      <c r="D798" s="20">
        <v>1.7785</v>
      </c>
      <c r="E798" s="20">
        <v>1.5703</v>
      </c>
      <c r="F798" s="1">
        <v>0</v>
      </c>
      <c r="G798" s="42"/>
      <c r="J798" s="44" t="s">
        <v>187</v>
      </c>
      <c r="K798" s="35">
        <v>0</v>
      </c>
      <c r="L798" s="35">
        <v>2.9999999999999997E-4</v>
      </c>
      <c r="M798" s="35">
        <v>1.0500000000000001E-2</v>
      </c>
      <c r="N798" s="21"/>
      <c r="Q798" s="22"/>
      <c r="R798" s="2"/>
      <c r="S798" s="2"/>
      <c r="T798" s="2"/>
      <c r="U798" s="34">
        <f t="shared" si="12"/>
        <v>1.0500000000000001E-2</v>
      </c>
    </row>
    <row r="799" spans="1:21" x14ac:dyDescent="0.2">
      <c r="A799" s="18" t="s">
        <v>2419</v>
      </c>
      <c r="B799" s="19" t="s">
        <v>2420</v>
      </c>
      <c r="C799" s="19" t="s">
        <v>2421</v>
      </c>
      <c r="D799" s="20">
        <v>0.29999876650000001</v>
      </c>
      <c r="E799" s="20">
        <v>0.135536249</v>
      </c>
      <c r="F799" s="1">
        <v>0.95832455760609969</v>
      </c>
      <c r="G799" s="42"/>
      <c r="I799" s="43" t="s">
        <v>187</v>
      </c>
      <c r="J799" s="44"/>
      <c r="K799" s="35">
        <v>0</v>
      </c>
      <c r="L799" s="35">
        <v>0</v>
      </c>
      <c r="M799" s="35">
        <v>0.96789999999999998</v>
      </c>
      <c r="N799" s="21"/>
      <c r="O799" s="2" t="s">
        <v>187</v>
      </c>
      <c r="Q799" s="22"/>
      <c r="R799" s="2"/>
      <c r="S799" s="2"/>
      <c r="T799" s="2"/>
      <c r="U799" s="34">
        <f t="shared" si="12"/>
        <v>0.96789999999999998</v>
      </c>
    </row>
    <row r="800" spans="1:21" x14ac:dyDescent="0.2">
      <c r="A800" s="18" t="s">
        <v>2423</v>
      </c>
      <c r="B800" s="19" t="s">
        <v>2424</v>
      </c>
      <c r="C800" s="19" t="s">
        <v>2425</v>
      </c>
      <c r="D800" s="20">
        <v>0.69091242149999998</v>
      </c>
      <c r="E800" s="20">
        <v>6.9284911840000003</v>
      </c>
      <c r="F800" s="1">
        <v>0.16949958161733414</v>
      </c>
      <c r="G800" s="42"/>
      <c r="H800" s="43" t="s">
        <v>187</v>
      </c>
      <c r="J800" s="44"/>
      <c r="K800" s="35">
        <v>0</v>
      </c>
      <c r="L800" s="35">
        <v>0.95069999999999999</v>
      </c>
      <c r="M800" s="35">
        <v>8.0000000000000002E-3</v>
      </c>
      <c r="N800" s="21"/>
      <c r="O800" s="2" t="s">
        <v>187</v>
      </c>
      <c r="Q800" s="22"/>
      <c r="R800" s="2"/>
      <c r="S800" s="2"/>
      <c r="T800" s="2"/>
      <c r="U800" s="34">
        <f t="shared" si="12"/>
        <v>0.95069999999999999</v>
      </c>
    </row>
    <row r="801" spans="1:21" x14ac:dyDescent="0.2">
      <c r="A801" s="18" t="s">
        <v>2426</v>
      </c>
      <c r="B801" s="19" t="s">
        <v>2427</v>
      </c>
      <c r="C801" s="19" t="s">
        <v>2428</v>
      </c>
      <c r="D801" s="20">
        <v>1.9179570116666664</v>
      </c>
      <c r="E801" s="20">
        <v>3.4272051079999999</v>
      </c>
      <c r="F801" s="1">
        <v>0</v>
      </c>
      <c r="G801" s="42"/>
      <c r="J801" s="44" t="s">
        <v>187</v>
      </c>
      <c r="K801" s="35">
        <v>4.0000000000000002E-4</v>
      </c>
      <c r="L801" s="35">
        <v>9.7100000000000006E-2</v>
      </c>
      <c r="M801" s="35">
        <v>2.0999999999999999E-3</v>
      </c>
      <c r="N801" s="21"/>
      <c r="Q801" s="22"/>
      <c r="R801" s="2"/>
      <c r="S801" s="2"/>
      <c r="T801" s="2"/>
      <c r="U801" s="34">
        <f t="shared" si="12"/>
        <v>9.7100000000000006E-2</v>
      </c>
    </row>
    <row r="802" spans="1:21" x14ac:dyDescent="0.2">
      <c r="A802" s="18" t="s">
        <v>2429</v>
      </c>
      <c r="B802" s="19" t="s">
        <v>2430</v>
      </c>
      <c r="C802" s="19" t="s">
        <v>2431</v>
      </c>
      <c r="D802" s="20">
        <v>0.20313999999999999</v>
      </c>
      <c r="E802" s="20">
        <v>0.14574692350000001</v>
      </c>
      <c r="F802" s="1">
        <v>0</v>
      </c>
      <c r="G802" s="42"/>
      <c r="I802" s="43" t="s">
        <v>187</v>
      </c>
      <c r="J802" s="44"/>
      <c r="K802" s="35">
        <v>0</v>
      </c>
      <c r="L802" s="35">
        <v>0</v>
      </c>
      <c r="M802" s="35">
        <v>0.95340000000000003</v>
      </c>
      <c r="N802" s="21"/>
      <c r="O802" s="2" t="s">
        <v>187</v>
      </c>
      <c r="Q802" s="22"/>
      <c r="R802" s="2"/>
      <c r="S802" s="2"/>
      <c r="T802" s="2"/>
      <c r="U802" s="34">
        <f t="shared" si="12"/>
        <v>0.95340000000000003</v>
      </c>
    </row>
    <row r="803" spans="1:21" x14ac:dyDescent="0.2">
      <c r="A803" s="18" t="s">
        <v>2433</v>
      </c>
      <c r="B803" s="19" t="s">
        <v>2434</v>
      </c>
      <c r="C803" s="19" t="s">
        <v>2435</v>
      </c>
      <c r="D803" s="20">
        <v>1.139852096</v>
      </c>
      <c r="E803" s="20">
        <v>2.7996836030000001</v>
      </c>
      <c r="F803" s="1">
        <v>45.98254702353475</v>
      </c>
      <c r="G803" s="42"/>
      <c r="J803" s="44" t="s">
        <v>187</v>
      </c>
      <c r="K803" s="35">
        <v>0</v>
      </c>
      <c r="L803" s="35">
        <v>0.15429999999999999</v>
      </c>
      <c r="M803" s="35">
        <v>9.5299999999999996E-2</v>
      </c>
      <c r="N803" s="21"/>
      <c r="Q803" s="22"/>
      <c r="R803" s="2"/>
      <c r="S803" s="2"/>
      <c r="T803" s="2"/>
      <c r="U803" s="34">
        <f t="shared" si="12"/>
        <v>0.15429999999999999</v>
      </c>
    </row>
    <row r="804" spans="1:21" x14ac:dyDescent="0.2">
      <c r="A804" s="18" t="s">
        <v>2436</v>
      </c>
      <c r="B804" s="19" t="s">
        <v>2437</v>
      </c>
      <c r="C804" s="19" t="s">
        <v>2438</v>
      </c>
      <c r="D804" s="20">
        <v>0.31774826133333334</v>
      </c>
      <c r="E804" s="20">
        <v>1.1308981815000001</v>
      </c>
      <c r="F804" s="1">
        <v>0</v>
      </c>
      <c r="G804" s="42"/>
      <c r="I804" s="43" t="s">
        <v>187</v>
      </c>
      <c r="J804" s="44"/>
      <c r="K804" s="35">
        <v>0</v>
      </c>
      <c r="L804" s="35">
        <v>8.9999999999999998E-4</v>
      </c>
      <c r="M804" s="35">
        <v>0.92649999999999999</v>
      </c>
      <c r="N804" s="21"/>
      <c r="O804" s="2" t="s">
        <v>187</v>
      </c>
      <c r="Q804" s="22"/>
      <c r="R804" s="2"/>
      <c r="S804" s="2"/>
      <c r="T804" s="2"/>
      <c r="U804" s="34">
        <f t="shared" si="12"/>
        <v>0.92649999999999999</v>
      </c>
    </row>
    <row r="805" spans="1:21" x14ac:dyDescent="0.2">
      <c r="A805" s="18" t="s">
        <v>2017</v>
      </c>
      <c r="B805" s="19" t="s">
        <v>2440</v>
      </c>
      <c r="C805" s="19" t="s">
        <v>2441</v>
      </c>
      <c r="D805" s="20">
        <v>0.18475433633333335</v>
      </c>
      <c r="E805" s="20">
        <v>0.49835542700000002</v>
      </c>
      <c r="F805" s="1">
        <v>1.2880265272700095</v>
      </c>
      <c r="G805" s="42"/>
      <c r="I805" s="43" t="s">
        <v>187</v>
      </c>
      <c r="J805" s="44"/>
      <c r="K805" s="35">
        <v>0</v>
      </c>
      <c r="L805" s="35">
        <v>0</v>
      </c>
      <c r="M805" s="35">
        <v>0.91790000000000005</v>
      </c>
      <c r="N805" s="21"/>
      <c r="O805" s="2" t="s">
        <v>187</v>
      </c>
      <c r="Q805" s="22"/>
      <c r="R805" s="2"/>
      <c r="S805" s="2"/>
      <c r="T805" s="2"/>
      <c r="U805" s="34">
        <f t="shared" si="12"/>
        <v>0.91790000000000005</v>
      </c>
    </row>
    <row r="806" spans="1:21" x14ac:dyDescent="0.2">
      <c r="A806" s="18" t="s">
        <v>2443</v>
      </c>
      <c r="B806" s="19" t="s">
        <v>2444</v>
      </c>
      <c r="C806" s="19" t="s">
        <v>2445</v>
      </c>
      <c r="D806" s="20">
        <v>0.38637203599999997</v>
      </c>
      <c r="E806" s="20">
        <v>6.3909473445000007</v>
      </c>
      <c r="F806" s="1">
        <v>0.57459292133186457</v>
      </c>
      <c r="G806" s="42"/>
      <c r="H806" s="43" t="s">
        <v>187</v>
      </c>
      <c r="J806" s="44"/>
      <c r="K806" s="35">
        <v>0</v>
      </c>
      <c r="L806" s="35">
        <v>0.92800000000000005</v>
      </c>
      <c r="M806" s="35">
        <v>2.4400000000000002E-2</v>
      </c>
      <c r="N806" s="21"/>
      <c r="O806" s="2" t="s">
        <v>187</v>
      </c>
      <c r="Q806" s="22"/>
      <c r="R806" s="2"/>
      <c r="S806" s="2"/>
      <c r="T806" s="2"/>
      <c r="U806" s="34">
        <f t="shared" si="12"/>
        <v>0.92800000000000005</v>
      </c>
    </row>
    <row r="807" spans="1:21" x14ac:dyDescent="0.2">
      <c r="A807" s="18" t="s">
        <v>2447</v>
      </c>
      <c r="B807" s="19" t="s">
        <v>2448</v>
      </c>
      <c r="C807" s="19" t="s">
        <v>2449</v>
      </c>
      <c r="D807" s="20">
        <v>0.42312120674999998</v>
      </c>
      <c r="E807" s="25">
        <v>0.45025500000000002</v>
      </c>
      <c r="F807" s="1">
        <v>17.995205581705157</v>
      </c>
      <c r="G807" s="42"/>
      <c r="I807" s="43" t="s">
        <v>187</v>
      </c>
      <c r="J807" s="44"/>
      <c r="K807" s="35">
        <v>0</v>
      </c>
      <c r="L807" s="35">
        <v>0</v>
      </c>
      <c r="M807" s="35">
        <v>0.96050000000000002</v>
      </c>
      <c r="N807" s="21"/>
      <c r="O807" s="2" t="s">
        <v>187</v>
      </c>
      <c r="Q807" s="22"/>
      <c r="R807" s="2"/>
      <c r="S807" s="2"/>
      <c r="T807" s="2"/>
      <c r="U807" s="34">
        <f t="shared" si="12"/>
        <v>0.96050000000000002</v>
      </c>
    </row>
    <row r="808" spans="1:21" x14ac:dyDescent="0.2">
      <c r="A808" s="18" t="s">
        <v>1857</v>
      </c>
      <c r="B808" s="19" t="s">
        <v>2450</v>
      </c>
      <c r="C808" s="19" t="s">
        <v>2451</v>
      </c>
      <c r="D808" s="1">
        <v>0.41599560824999998</v>
      </c>
      <c r="E808" s="1">
        <v>0.73860332475000001</v>
      </c>
      <c r="F808" s="1">
        <v>16.334109681854713</v>
      </c>
      <c r="G808" s="42"/>
      <c r="I808" s="43" t="s">
        <v>187</v>
      </c>
      <c r="J808" s="44"/>
      <c r="K808" s="35">
        <v>0</v>
      </c>
      <c r="L808" s="35">
        <v>0</v>
      </c>
      <c r="M808" s="35">
        <v>0.94840000000000002</v>
      </c>
      <c r="N808" s="21"/>
      <c r="O808" s="2" t="s">
        <v>187</v>
      </c>
      <c r="Q808" s="22"/>
      <c r="R808" s="2"/>
      <c r="S808" s="2"/>
      <c r="T808" s="2"/>
      <c r="U808" s="34">
        <f t="shared" si="12"/>
        <v>0.94840000000000002</v>
      </c>
    </row>
    <row r="809" spans="1:21" x14ac:dyDescent="0.2">
      <c r="A809" s="18" t="s">
        <v>2285</v>
      </c>
      <c r="B809" s="19" t="s">
        <v>2452</v>
      </c>
      <c r="C809" s="19" t="s">
        <v>2453</v>
      </c>
      <c r="D809" s="20">
        <v>0.36667224024999995</v>
      </c>
      <c r="E809" s="20">
        <v>0.61692922750000001</v>
      </c>
      <c r="F809" s="1">
        <v>0.1899946290678349</v>
      </c>
      <c r="G809" s="42"/>
      <c r="I809" s="43" t="s">
        <v>187</v>
      </c>
      <c r="J809" s="44"/>
      <c r="K809" s="35">
        <v>0</v>
      </c>
      <c r="L809" s="35">
        <v>0</v>
      </c>
      <c r="M809" s="35">
        <v>0.95860000000000001</v>
      </c>
      <c r="N809" s="21" t="s">
        <v>187</v>
      </c>
      <c r="Q809" s="22"/>
      <c r="R809" s="2"/>
      <c r="S809" s="2"/>
      <c r="T809" s="2"/>
      <c r="U809" s="34">
        <f t="shared" si="12"/>
        <v>0.95860000000000001</v>
      </c>
    </row>
    <row r="810" spans="1:21" x14ac:dyDescent="0.2">
      <c r="A810" s="18" t="s">
        <v>2070</v>
      </c>
      <c r="B810" s="19" t="s">
        <v>2454</v>
      </c>
      <c r="C810" s="19" t="s">
        <v>2455</v>
      </c>
      <c r="D810" s="20">
        <v>0.37319570825000004</v>
      </c>
      <c r="E810" s="20">
        <v>0.71429161649999995</v>
      </c>
      <c r="F810" s="1">
        <v>0.19898544633622087</v>
      </c>
      <c r="G810" s="42"/>
      <c r="I810" s="43" t="s">
        <v>187</v>
      </c>
      <c r="J810" s="44"/>
      <c r="K810" s="35">
        <v>0</v>
      </c>
      <c r="L810" s="35">
        <v>0</v>
      </c>
      <c r="M810" s="35">
        <v>0.9536</v>
      </c>
      <c r="N810" s="21" t="s">
        <v>187</v>
      </c>
      <c r="Q810" s="22"/>
      <c r="R810" s="2"/>
      <c r="S810" s="2"/>
      <c r="T810" s="2"/>
      <c r="U810" s="34">
        <f t="shared" si="12"/>
        <v>0.9536</v>
      </c>
    </row>
    <row r="811" spans="1:21" x14ac:dyDescent="0.2">
      <c r="A811" s="18" t="s">
        <v>2456</v>
      </c>
      <c r="B811" s="19" t="s">
        <v>2457</v>
      </c>
      <c r="C811" s="19" t="s">
        <v>2458</v>
      </c>
      <c r="D811" s="20">
        <v>3.1529839469999996</v>
      </c>
      <c r="E811" s="20">
        <v>15.923854410000001</v>
      </c>
      <c r="F811" s="1">
        <v>0.11325653862613781</v>
      </c>
      <c r="G811" s="42" t="s">
        <v>187</v>
      </c>
      <c r="J811" s="44"/>
      <c r="K811" s="35">
        <v>0.4284</v>
      </c>
      <c r="L811" s="35">
        <v>0.52049999999999996</v>
      </c>
      <c r="M811" s="35">
        <v>0</v>
      </c>
      <c r="N811" s="21"/>
      <c r="Q811" s="22" t="s">
        <v>187</v>
      </c>
      <c r="R811" s="2"/>
      <c r="S811" s="2"/>
      <c r="T811" s="2"/>
      <c r="U811" s="34">
        <f t="shared" si="12"/>
        <v>0.52049999999999996</v>
      </c>
    </row>
    <row r="812" spans="1:21" x14ac:dyDescent="0.2">
      <c r="A812" s="18" t="s">
        <v>2459</v>
      </c>
      <c r="B812" s="19" t="s">
        <v>2460</v>
      </c>
      <c r="C812" s="19" t="s">
        <v>2461</v>
      </c>
      <c r="D812" s="20">
        <v>2.0532422182499999</v>
      </c>
      <c r="E812" s="20">
        <v>0.46747931500000001</v>
      </c>
      <c r="F812" s="1">
        <v>82.258853207180451</v>
      </c>
      <c r="G812" s="42"/>
      <c r="J812" s="44" t="s">
        <v>187</v>
      </c>
      <c r="K812" s="35">
        <v>0</v>
      </c>
      <c r="L812" s="35">
        <v>0</v>
      </c>
      <c r="M812" s="35">
        <v>4.4000000000000003E-3</v>
      </c>
      <c r="N812" s="21"/>
      <c r="Q812" s="22"/>
      <c r="R812" s="2"/>
      <c r="S812" s="2"/>
      <c r="T812" s="2"/>
      <c r="U812" s="34">
        <f t="shared" si="12"/>
        <v>4.4000000000000003E-3</v>
      </c>
    </row>
    <row r="813" spans="1:21" x14ac:dyDescent="0.2">
      <c r="A813" s="18" t="s">
        <v>2462</v>
      </c>
      <c r="B813" s="19" t="s">
        <v>2463</v>
      </c>
      <c r="C813" s="19" t="s">
        <v>2464</v>
      </c>
      <c r="D813" s="20">
        <v>1.4950228080000001</v>
      </c>
      <c r="E813" s="20">
        <v>0.54720999999999997</v>
      </c>
      <c r="F813" s="1">
        <v>72.834931920750066</v>
      </c>
      <c r="G813" s="42"/>
      <c r="J813" s="44" t="s">
        <v>187</v>
      </c>
      <c r="K813" s="35">
        <v>0</v>
      </c>
      <c r="L813" s="35">
        <v>0</v>
      </c>
      <c r="M813" s="35">
        <v>6.6100000000000006E-2</v>
      </c>
      <c r="N813" s="21"/>
      <c r="Q813" s="22"/>
      <c r="R813" s="2"/>
      <c r="S813" s="2"/>
      <c r="T813" s="2"/>
      <c r="U813" s="34">
        <f t="shared" si="12"/>
        <v>6.6100000000000006E-2</v>
      </c>
    </row>
    <row r="814" spans="1:21" x14ac:dyDescent="0.2">
      <c r="A814" s="18" t="s">
        <v>2466</v>
      </c>
      <c r="B814" s="19" t="s">
        <v>2467</v>
      </c>
      <c r="C814" s="19" t="s">
        <v>2468</v>
      </c>
      <c r="D814" s="20">
        <v>2.9080894439999998</v>
      </c>
      <c r="E814" s="20">
        <v>0.65049999999999997</v>
      </c>
      <c r="F814" s="1">
        <v>74.873649018710864</v>
      </c>
      <c r="G814" s="42"/>
      <c r="J814" s="44" t="s">
        <v>187</v>
      </c>
      <c r="K814" s="35">
        <v>0</v>
      </c>
      <c r="L814" s="35">
        <v>0</v>
      </c>
      <c r="M814" s="35">
        <v>1E-4</v>
      </c>
      <c r="N814" s="21"/>
      <c r="Q814" s="22"/>
      <c r="R814" s="2"/>
      <c r="S814" s="2"/>
      <c r="T814" s="2"/>
      <c r="U814" s="34">
        <f t="shared" si="12"/>
        <v>1E-4</v>
      </c>
    </row>
    <row r="815" spans="1:21" x14ac:dyDescent="0.2">
      <c r="A815" s="18" t="s">
        <v>2469</v>
      </c>
      <c r="B815" s="19" t="s">
        <v>2470</v>
      </c>
      <c r="C815" s="19" t="s">
        <v>2471</v>
      </c>
      <c r="D815" s="20">
        <v>6.8539152672499997</v>
      </c>
      <c r="E815" s="20">
        <v>14.441630247499999</v>
      </c>
      <c r="F815" s="1">
        <v>0.46549885099052141</v>
      </c>
      <c r="G815" s="42" t="s">
        <v>187</v>
      </c>
      <c r="J815" s="44"/>
      <c r="K815" s="35">
        <v>0.96950000000000003</v>
      </c>
      <c r="L815" s="35">
        <v>1.11E-2</v>
      </c>
      <c r="M815" s="35">
        <v>0</v>
      </c>
      <c r="N815" s="21"/>
      <c r="Q815" s="22" t="s">
        <v>187</v>
      </c>
      <c r="R815" s="2"/>
      <c r="S815" s="2"/>
      <c r="T815" s="2"/>
      <c r="U815" s="34">
        <f t="shared" si="12"/>
        <v>0.96950000000000003</v>
      </c>
    </row>
    <row r="816" spans="1:21" x14ac:dyDescent="0.2">
      <c r="A816" s="18" t="s">
        <v>2472</v>
      </c>
      <c r="B816" s="19" t="s">
        <v>2473</v>
      </c>
      <c r="C816" s="19" t="s">
        <v>2474</v>
      </c>
      <c r="D816" s="20">
        <v>1.197528983</v>
      </c>
      <c r="E816" s="20">
        <v>5.7641241299999999</v>
      </c>
      <c r="F816" s="1">
        <v>0</v>
      </c>
      <c r="G816" s="42"/>
      <c r="H816" s="43" t="s">
        <v>187</v>
      </c>
      <c r="J816" s="44"/>
      <c r="K816" s="35">
        <v>4.0000000000000002E-4</v>
      </c>
      <c r="L816" s="35">
        <v>0.86650000000000005</v>
      </c>
      <c r="M816" s="35">
        <v>3.5000000000000001E-3</v>
      </c>
      <c r="N816" s="21"/>
      <c r="O816" s="2" t="s">
        <v>187</v>
      </c>
      <c r="Q816" s="22"/>
      <c r="R816" s="2"/>
      <c r="S816" s="2"/>
      <c r="T816" s="2"/>
      <c r="U816" s="34">
        <f t="shared" si="12"/>
        <v>0.86650000000000005</v>
      </c>
    </row>
    <row r="817" spans="1:21" x14ac:dyDescent="0.2">
      <c r="A817" s="18" t="s">
        <v>2475</v>
      </c>
      <c r="B817" s="19" t="s">
        <v>2476</v>
      </c>
      <c r="C817" s="19" t="s">
        <v>2477</v>
      </c>
      <c r="D817" s="20">
        <v>11.200760565749999</v>
      </c>
      <c r="E817" s="20">
        <v>23.7432827875</v>
      </c>
      <c r="F817" s="1">
        <v>0.43202600367732658</v>
      </c>
      <c r="G817" s="42" t="s">
        <v>187</v>
      </c>
      <c r="J817" s="44"/>
      <c r="K817" s="35">
        <v>0.97889999999999999</v>
      </c>
      <c r="L817" s="35">
        <v>4.3E-3</v>
      </c>
      <c r="M817" s="35">
        <v>0</v>
      </c>
      <c r="N817" s="21"/>
      <c r="P817" s="2" t="s">
        <v>187</v>
      </c>
      <c r="Q817" s="22"/>
      <c r="R817" s="2"/>
      <c r="S817" s="2"/>
      <c r="T817" s="2"/>
      <c r="U817" s="34">
        <f t="shared" si="12"/>
        <v>0.97889999999999999</v>
      </c>
    </row>
    <row r="818" spans="1:21" x14ac:dyDescent="0.2">
      <c r="A818" s="18" t="s">
        <v>2370</v>
      </c>
      <c r="B818" s="19" t="s">
        <v>2478</v>
      </c>
      <c r="C818" s="19" t="s">
        <v>2479</v>
      </c>
      <c r="D818" s="20">
        <v>0.34785504974999998</v>
      </c>
      <c r="E818" s="20">
        <v>0.93665669749999991</v>
      </c>
      <c r="F818" s="1">
        <v>0.46365540893955937</v>
      </c>
      <c r="G818" s="42"/>
      <c r="I818" s="43" t="s">
        <v>187</v>
      </c>
      <c r="J818" s="44"/>
      <c r="K818" s="35">
        <v>0</v>
      </c>
      <c r="L818" s="35">
        <v>1E-4</v>
      </c>
      <c r="M818" s="35">
        <v>0.94179999999999997</v>
      </c>
      <c r="N818" s="21"/>
      <c r="O818" s="2" t="s">
        <v>187</v>
      </c>
      <c r="Q818" s="22"/>
      <c r="R818" s="2"/>
      <c r="S818" s="2"/>
      <c r="T818" s="2"/>
      <c r="U818" s="34">
        <f t="shared" si="12"/>
        <v>0.94179999999999997</v>
      </c>
    </row>
    <row r="819" spans="1:21" x14ac:dyDescent="0.2">
      <c r="A819" s="18" t="s">
        <v>2480</v>
      </c>
      <c r="B819" s="19" t="s">
        <v>2481</v>
      </c>
      <c r="C819" s="19" t="s">
        <v>2482</v>
      </c>
      <c r="D819" s="20">
        <v>3.28365700175</v>
      </c>
      <c r="E819" s="20">
        <v>11.374810850999999</v>
      </c>
      <c r="F819" s="1">
        <v>0.53240253200404319</v>
      </c>
      <c r="G819" s="42" t="s">
        <v>187</v>
      </c>
      <c r="J819" s="44"/>
      <c r="K819" s="35">
        <v>0.54110000000000003</v>
      </c>
      <c r="L819" s="35">
        <v>0.373</v>
      </c>
      <c r="M819" s="35">
        <v>0</v>
      </c>
      <c r="N819" s="21"/>
      <c r="P819" s="2" t="s">
        <v>187</v>
      </c>
      <c r="Q819" s="22"/>
      <c r="R819" s="2"/>
      <c r="S819" s="2"/>
      <c r="T819" s="2"/>
      <c r="U819" s="34">
        <f t="shared" si="12"/>
        <v>0.54110000000000003</v>
      </c>
    </row>
    <row r="820" spans="1:21" x14ac:dyDescent="0.2">
      <c r="A820" s="18" t="s">
        <v>2483</v>
      </c>
      <c r="B820" s="19" t="s">
        <v>2484</v>
      </c>
      <c r="C820" s="19" t="s">
        <v>2485</v>
      </c>
      <c r="D820" s="20">
        <v>16.369594438</v>
      </c>
      <c r="E820" s="20">
        <v>26.426133727499998</v>
      </c>
      <c r="F820" s="1">
        <v>0.25954623435201535</v>
      </c>
      <c r="G820" s="42" t="s">
        <v>187</v>
      </c>
      <c r="J820" s="44"/>
      <c r="K820" s="35">
        <v>0.97319999999999995</v>
      </c>
      <c r="L820" s="35">
        <v>1.2999999999999999E-3</v>
      </c>
      <c r="M820" s="35">
        <v>0</v>
      </c>
      <c r="N820" s="21"/>
      <c r="P820" s="2" t="s">
        <v>187</v>
      </c>
      <c r="Q820" s="22"/>
      <c r="R820" s="2"/>
      <c r="S820" s="2"/>
      <c r="T820" s="2"/>
      <c r="U820" s="34">
        <f t="shared" si="12"/>
        <v>0.97319999999999995</v>
      </c>
    </row>
    <row r="821" spans="1:21" x14ac:dyDescent="0.2">
      <c r="A821" s="18" t="s">
        <v>2487</v>
      </c>
      <c r="B821" s="19" t="s">
        <v>2488</v>
      </c>
      <c r="C821" s="19" t="s">
        <v>2489</v>
      </c>
      <c r="D821" s="25">
        <v>0.22517026933333331</v>
      </c>
      <c r="E821" s="20">
        <v>1.95265</v>
      </c>
      <c r="F821" s="1">
        <v>0</v>
      </c>
      <c r="G821" s="42"/>
      <c r="I821" s="43" t="s">
        <v>187</v>
      </c>
      <c r="J821" s="44"/>
      <c r="K821" s="35">
        <v>0</v>
      </c>
      <c r="L821" s="35">
        <v>0.1118</v>
      </c>
      <c r="M821" s="35">
        <v>0.6804</v>
      </c>
      <c r="N821" s="21"/>
      <c r="O821" s="2" t="s">
        <v>187</v>
      </c>
      <c r="Q821" s="22"/>
      <c r="R821" s="2"/>
      <c r="S821" s="2"/>
      <c r="T821" s="2"/>
      <c r="U821" s="34">
        <f t="shared" si="12"/>
        <v>0.6804</v>
      </c>
    </row>
    <row r="822" spans="1:21" x14ac:dyDescent="0.2">
      <c r="A822" s="18" t="s">
        <v>2490</v>
      </c>
      <c r="B822" s="19" t="s">
        <v>2491</v>
      </c>
      <c r="C822" s="19" t="s">
        <v>2492</v>
      </c>
      <c r="D822" s="20">
        <v>0.20219895474999999</v>
      </c>
      <c r="E822" s="20">
        <v>0.12075779</v>
      </c>
      <c r="F822" s="1">
        <v>0.14319792240093587</v>
      </c>
      <c r="G822" s="42"/>
      <c r="I822" s="43" t="s">
        <v>187</v>
      </c>
      <c r="J822" s="44"/>
      <c r="K822" s="35">
        <v>0</v>
      </c>
      <c r="L822" s="35">
        <v>0</v>
      </c>
      <c r="M822" s="35">
        <v>0.95050000000000001</v>
      </c>
      <c r="N822" s="21"/>
      <c r="O822" s="2" t="s">
        <v>187</v>
      </c>
      <c r="Q822" s="22"/>
      <c r="R822" s="2"/>
      <c r="S822" s="2"/>
      <c r="T822" s="2"/>
      <c r="U822" s="34">
        <f t="shared" si="12"/>
        <v>0.95050000000000001</v>
      </c>
    </row>
    <row r="823" spans="1:21" x14ac:dyDescent="0.2">
      <c r="A823" s="18" t="s">
        <v>2185</v>
      </c>
      <c r="B823" s="19" t="s">
        <v>2493</v>
      </c>
      <c r="C823" s="19" t="s">
        <v>2494</v>
      </c>
      <c r="D823" s="20">
        <v>0.23535068349999999</v>
      </c>
      <c r="E823" s="20">
        <v>1.9464225234999999</v>
      </c>
      <c r="F823" s="1">
        <v>0.32958251981174796</v>
      </c>
      <c r="G823" s="42"/>
      <c r="I823" s="43" t="s">
        <v>187</v>
      </c>
      <c r="J823" s="44"/>
      <c r="K823" s="35">
        <v>0</v>
      </c>
      <c r="L823" s="35">
        <v>0.10059999999999999</v>
      </c>
      <c r="M823" s="35">
        <v>0.70660000000000001</v>
      </c>
      <c r="N823" s="21"/>
      <c r="O823" s="2" t="s">
        <v>187</v>
      </c>
      <c r="Q823" s="22"/>
      <c r="R823" s="2"/>
      <c r="S823" s="2"/>
      <c r="T823" s="2"/>
      <c r="U823" s="34">
        <f t="shared" si="12"/>
        <v>0.70660000000000001</v>
      </c>
    </row>
    <row r="824" spans="1:21" x14ac:dyDescent="0.2">
      <c r="A824" s="18" t="s">
        <v>2397</v>
      </c>
      <c r="B824" s="19" t="s">
        <v>2495</v>
      </c>
      <c r="C824" s="19" t="s">
        <v>2496</v>
      </c>
      <c r="D824" s="20">
        <v>0.27186439824999997</v>
      </c>
      <c r="E824" s="20">
        <v>0.25205558324999999</v>
      </c>
      <c r="F824" s="1">
        <v>8.9788967559519053E-2</v>
      </c>
      <c r="G824" s="42"/>
      <c r="I824" s="43" t="s">
        <v>187</v>
      </c>
      <c r="J824" s="44"/>
      <c r="K824" s="35">
        <v>0</v>
      </c>
      <c r="L824" s="35">
        <v>0</v>
      </c>
      <c r="M824" s="35">
        <v>0.96960000000000002</v>
      </c>
      <c r="N824" s="21"/>
      <c r="O824" s="2" t="s">
        <v>187</v>
      </c>
      <c r="Q824" s="22"/>
      <c r="R824" s="2"/>
      <c r="S824" s="2"/>
      <c r="T824" s="2"/>
      <c r="U824" s="34">
        <f t="shared" si="12"/>
        <v>0.96960000000000002</v>
      </c>
    </row>
    <row r="825" spans="1:21" x14ac:dyDescent="0.2">
      <c r="A825" s="18" t="s">
        <v>2497</v>
      </c>
      <c r="B825" s="19" t="s">
        <v>2498</v>
      </c>
      <c r="C825" s="19" t="s">
        <v>2499</v>
      </c>
      <c r="D825" s="20">
        <v>1.1389828515</v>
      </c>
      <c r="E825" s="20">
        <v>20.173671345000002</v>
      </c>
      <c r="F825" s="1">
        <v>0.56748806284793396</v>
      </c>
      <c r="G825" s="42"/>
      <c r="H825" s="43" t="s">
        <v>187</v>
      </c>
      <c r="J825" s="44"/>
      <c r="K825" s="35">
        <v>1.1000000000000001E-3</v>
      </c>
      <c r="L825" s="35">
        <v>0.96719999999999995</v>
      </c>
      <c r="M825" s="35">
        <v>0</v>
      </c>
      <c r="N825" s="21"/>
      <c r="O825" s="2" t="s">
        <v>187</v>
      </c>
      <c r="Q825" s="22"/>
      <c r="R825" s="2"/>
      <c r="S825" s="2"/>
      <c r="T825" s="2"/>
      <c r="U825" s="34">
        <f t="shared" si="12"/>
        <v>0.96719999999999995</v>
      </c>
    </row>
    <row r="826" spans="1:21" x14ac:dyDescent="0.2">
      <c r="A826" s="18" t="s">
        <v>2246</v>
      </c>
      <c r="B826" s="19" t="s">
        <v>2500</v>
      </c>
      <c r="C826" s="19" t="s">
        <v>2501</v>
      </c>
      <c r="D826" s="20">
        <v>0.26095113025</v>
      </c>
      <c r="E826" s="20">
        <v>0.60404297875000001</v>
      </c>
      <c r="F826" s="1">
        <v>0.17770733162811</v>
      </c>
      <c r="G826" s="42"/>
      <c r="I826" s="43" t="s">
        <v>187</v>
      </c>
      <c r="J826" s="44"/>
      <c r="K826" s="35">
        <v>0</v>
      </c>
      <c r="L826" s="35">
        <v>0</v>
      </c>
      <c r="M826" s="35">
        <v>0.95309999999999995</v>
      </c>
      <c r="N826" s="21"/>
      <c r="O826" s="2" t="s">
        <v>187</v>
      </c>
      <c r="Q826" s="22"/>
      <c r="R826" s="2"/>
      <c r="S826" s="2"/>
      <c r="T826" s="2"/>
      <c r="U826" s="34">
        <f t="shared" si="12"/>
        <v>0.95309999999999995</v>
      </c>
    </row>
    <row r="827" spans="1:21" x14ac:dyDescent="0.2">
      <c r="A827" s="18" t="s">
        <v>2408</v>
      </c>
      <c r="B827" s="19" t="s">
        <v>2502</v>
      </c>
      <c r="C827" s="19" t="s">
        <v>2503</v>
      </c>
      <c r="D827" s="20">
        <v>0.22531437275000002</v>
      </c>
      <c r="E827" s="20">
        <v>0.19743357750000001</v>
      </c>
      <c r="F827" s="1">
        <v>0.1258405984734951</v>
      </c>
      <c r="G827" s="42"/>
      <c r="I827" s="43" t="s">
        <v>187</v>
      </c>
      <c r="J827" s="44"/>
      <c r="K827" s="35">
        <v>0</v>
      </c>
      <c r="L827" s="35">
        <v>0</v>
      </c>
      <c r="M827" s="35">
        <v>0.96250000000000002</v>
      </c>
      <c r="N827" s="21"/>
      <c r="O827" s="2" t="s">
        <v>187</v>
      </c>
      <c r="Q827" s="22"/>
      <c r="R827" s="2"/>
      <c r="S827" s="2"/>
      <c r="T827" s="2"/>
      <c r="U827" s="34">
        <f t="shared" si="12"/>
        <v>0.96250000000000002</v>
      </c>
    </row>
    <row r="828" spans="1:21" x14ac:dyDescent="0.2">
      <c r="A828" s="18" t="s">
        <v>2504</v>
      </c>
      <c r="B828" s="19" t="s">
        <v>2505</v>
      </c>
      <c r="C828" s="19" t="s">
        <v>2506</v>
      </c>
      <c r="D828" s="20">
        <v>16.649119197249998</v>
      </c>
      <c r="E828" s="20">
        <v>36.396490007499999</v>
      </c>
      <c r="F828" s="1">
        <v>0.55902265860452394</v>
      </c>
      <c r="G828" s="42" t="s">
        <v>187</v>
      </c>
      <c r="J828" s="44"/>
      <c r="K828" s="35">
        <v>0.92210000000000003</v>
      </c>
      <c r="L828" s="35">
        <v>6.4000000000000003E-3</v>
      </c>
      <c r="M828" s="35">
        <v>0</v>
      </c>
      <c r="N828" s="21"/>
      <c r="P828" s="2" t="s">
        <v>187</v>
      </c>
      <c r="Q828" s="22"/>
      <c r="R828" s="2"/>
      <c r="S828" s="2"/>
      <c r="T828" s="2"/>
      <c r="U828" s="34">
        <f t="shared" si="12"/>
        <v>0.92210000000000003</v>
      </c>
    </row>
    <row r="829" spans="1:21" x14ac:dyDescent="0.2">
      <c r="A829" s="18" t="s">
        <v>2507</v>
      </c>
      <c r="B829" s="19" t="s">
        <v>2508</v>
      </c>
      <c r="C829" s="19" t="s">
        <v>2509</v>
      </c>
      <c r="D829" s="20">
        <v>6.7705873697499994</v>
      </c>
      <c r="E829" s="20">
        <v>20.178203267500002</v>
      </c>
      <c r="F829" s="1">
        <v>0.59751651073858614</v>
      </c>
      <c r="G829" s="42" t="s">
        <v>187</v>
      </c>
      <c r="J829" s="44"/>
      <c r="K829" s="35">
        <v>0.95399999999999996</v>
      </c>
      <c r="L829" s="35">
        <v>2.7300000000000001E-2</v>
      </c>
      <c r="M829" s="35">
        <v>0</v>
      </c>
      <c r="N829" s="21"/>
      <c r="P829" s="2" t="s">
        <v>187</v>
      </c>
      <c r="Q829" s="22"/>
      <c r="R829" s="2"/>
      <c r="S829" s="2"/>
      <c r="T829" s="2"/>
      <c r="U829" s="34">
        <f t="shared" si="12"/>
        <v>0.95399999999999996</v>
      </c>
    </row>
    <row r="830" spans="1:21" x14ac:dyDescent="0.2">
      <c r="A830" s="18" t="s">
        <v>2510</v>
      </c>
      <c r="B830" s="19" t="s">
        <v>2511</v>
      </c>
      <c r="C830" s="19" t="s">
        <v>2512</v>
      </c>
      <c r="D830" s="20">
        <v>1.3917088560000002</v>
      </c>
      <c r="E830" s="20">
        <v>4.7102000000000004</v>
      </c>
      <c r="F830" s="1" t="s">
        <v>47</v>
      </c>
      <c r="G830" s="42"/>
      <c r="J830" s="44" t="s">
        <v>187</v>
      </c>
      <c r="K830" s="35">
        <v>5.9999999999999995E-4</v>
      </c>
      <c r="L830" s="35">
        <v>0.66069999999999995</v>
      </c>
      <c r="M830" s="35">
        <v>5.1999999999999998E-3</v>
      </c>
      <c r="N830" s="21"/>
      <c r="Q830" s="22"/>
      <c r="R830" s="2"/>
      <c r="S830" s="2"/>
      <c r="T830" s="2"/>
      <c r="U830" s="34">
        <f t="shared" si="12"/>
        <v>0.66069999999999995</v>
      </c>
    </row>
    <row r="831" spans="1:21" x14ac:dyDescent="0.2">
      <c r="A831" s="18" t="s">
        <v>2513</v>
      </c>
      <c r="B831" s="19" t="s">
        <v>2514</v>
      </c>
      <c r="C831" s="19" t="s">
        <v>2515</v>
      </c>
      <c r="D831" s="20">
        <v>1.5521964699999999</v>
      </c>
      <c r="E831" s="20">
        <v>6.2770698640000004</v>
      </c>
      <c r="F831" s="1">
        <v>48.44863041233571</v>
      </c>
      <c r="G831" s="42"/>
      <c r="H831" s="43" t="s">
        <v>187</v>
      </c>
      <c r="J831" s="44"/>
      <c r="K831" s="35">
        <v>3.8E-3</v>
      </c>
      <c r="L831" s="35">
        <v>0.83020000000000005</v>
      </c>
      <c r="M831" s="35">
        <v>6.9999999999999999E-4</v>
      </c>
      <c r="N831" s="21"/>
      <c r="O831" s="2" t="s">
        <v>187</v>
      </c>
      <c r="Q831" s="22"/>
      <c r="R831" s="2"/>
      <c r="S831" s="2"/>
      <c r="T831" s="2"/>
      <c r="U831" s="34">
        <f t="shared" si="12"/>
        <v>0.83020000000000005</v>
      </c>
    </row>
    <row r="832" spans="1:21" x14ac:dyDescent="0.2">
      <c r="A832" s="18" t="s">
        <v>2329</v>
      </c>
      <c r="B832" s="19" t="s">
        <v>2516</v>
      </c>
      <c r="C832" s="19" t="s">
        <v>2517</v>
      </c>
      <c r="D832" s="20">
        <v>0.3550872685</v>
      </c>
      <c r="E832" s="20">
        <v>7.4804697000000003E-2</v>
      </c>
      <c r="F832" s="1">
        <v>0.28749736728196534</v>
      </c>
      <c r="G832" s="42"/>
      <c r="I832" s="43" t="s">
        <v>187</v>
      </c>
      <c r="J832" s="44"/>
      <c r="K832" s="35">
        <v>0</v>
      </c>
      <c r="L832" s="35">
        <v>0</v>
      </c>
      <c r="M832" s="35">
        <v>0.94810000000000005</v>
      </c>
      <c r="N832" s="21" t="s">
        <v>187</v>
      </c>
      <c r="Q832" s="22"/>
      <c r="R832" s="2"/>
      <c r="S832" s="2"/>
      <c r="T832" s="2"/>
      <c r="U832" s="34">
        <f t="shared" si="12"/>
        <v>0.94810000000000005</v>
      </c>
    </row>
    <row r="833" spans="1:21" x14ac:dyDescent="0.2">
      <c r="A833" s="18" t="s">
        <v>2003</v>
      </c>
      <c r="B833" s="19" t="s">
        <v>2518</v>
      </c>
      <c r="C833" s="19" t="s">
        <v>2519</v>
      </c>
      <c r="D833" s="20">
        <v>0.60032487300000004</v>
      </c>
      <c r="E833" s="20">
        <v>0.12148897675000001</v>
      </c>
      <c r="F833" s="1">
        <v>8.4592846751710193E-2</v>
      </c>
      <c r="G833" s="42"/>
      <c r="I833" s="43" t="s">
        <v>187</v>
      </c>
      <c r="J833" s="44"/>
      <c r="K833" s="35">
        <v>0</v>
      </c>
      <c r="L833" s="35">
        <v>0</v>
      </c>
      <c r="M833" s="35">
        <v>0.88870000000000005</v>
      </c>
      <c r="N833" s="21" t="s">
        <v>187</v>
      </c>
      <c r="Q833" s="22"/>
      <c r="R833" s="2"/>
      <c r="S833" s="2"/>
      <c r="T833" s="2"/>
      <c r="U833" s="34">
        <f t="shared" si="12"/>
        <v>0.88870000000000005</v>
      </c>
    </row>
    <row r="834" spans="1:21" x14ac:dyDescent="0.2">
      <c r="A834" s="18" t="s">
        <v>2252</v>
      </c>
      <c r="B834" s="19" t="s">
        <v>2520</v>
      </c>
      <c r="C834" s="19" t="s">
        <v>2521</v>
      </c>
      <c r="D834" s="20">
        <v>0.26576126774999997</v>
      </c>
      <c r="E834" s="20">
        <v>0.1105892855</v>
      </c>
      <c r="F834" s="1">
        <v>0.41014713576551737</v>
      </c>
      <c r="G834" s="42"/>
      <c r="I834" s="43" t="s">
        <v>187</v>
      </c>
      <c r="J834" s="44"/>
      <c r="K834" s="35">
        <v>0</v>
      </c>
      <c r="L834" s="35">
        <v>0</v>
      </c>
      <c r="M834" s="35">
        <v>0.96340000000000003</v>
      </c>
      <c r="N834" s="21" t="s">
        <v>187</v>
      </c>
      <c r="Q834" s="22"/>
      <c r="R834" s="2"/>
      <c r="S834" s="2"/>
      <c r="T834" s="2"/>
      <c r="U834" s="34">
        <f t="shared" ref="U834:U897" si="13">MAX(K834:M834)</f>
        <v>0.96340000000000003</v>
      </c>
    </row>
    <row r="835" spans="1:21" x14ac:dyDescent="0.2">
      <c r="A835" s="18" t="s">
        <v>2373</v>
      </c>
      <c r="B835" s="19" t="s">
        <v>2522</v>
      </c>
      <c r="C835" s="19" t="s">
        <v>2523</v>
      </c>
      <c r="D835" s="20">
        <v>0.4965925055</v>
      </c>
      <c r="E835" s="20">
        <v>0.14000000000000001</v>
      </c>
      <c r="F835" s="1">
        <v>0.19379452164986549</v>
      </c>
      <c r="G835" s="42"/>
      <c r="I835" s="43" t="s">
        <v>187</v>
      </c>
      <c r="J835" s="44"/>
      <c r="K835" s="35">
        <v>0</v>
      </c>
      <c r="L835" s="35">
        <v>0</v>
      </c>
      <c r="M835" s="35">
        <v>0.94089999999999996</v>
      </c>
      <c r="N835" s="21" t="s">
        <v>187</v>
      </c>
      <c r="Q835" s="22"/>
      <c r="R835" s="2"/>
      <c r="S835" s="2"/>
      <c r="T835" s="2"/>
      <c r="U835" s="34">
        <f t="shared" si="13"/>
        <v>0.94089999999999996</v>
      </c>
    </row>
    <row r="836" spans="1:21" x14ac:dyDescent="0.2">
      <c r="A836" s="18" t="s">
        <v>2308</v>
      </c>
      <c r="B836" s="19" t="s">
        <v>2524</v>
      </c>
      <c r="C836" s="19" t="s">
        <v>2525</v>
      </c>
      <c r="D836" s="20">
        <v>0.54148917299999999</v>
      </c>
      <c r="E836" s="20">
        <v>0.11836194</v>
      </c>
      <c r="F836" s="1">
        <v>0</v>
      </c>
      <c r="G836" s="42"/>
      <c r="I836" s="43" t="s">
        <v>187</v>
      </c>
      <c r="J836" s="44"/>
      <c r="K836" s="35">
        <v>0</v>
      </c>
      <c r="L836" s="35">
        <v>0</v>
      </c>
      <c r="M836" s="35">
        <v>0.91739999999999999</v>
      </c>
      <c r="N836" s="21" t="s">
        <v>187</v>
      </c>
      <c r="Q836" s="22"/>
      <c r="R836" s="2"/>
      <c r="S836" s="2"/>
      <c r="T836" s="2"/>
      <c r="U836" s="34">
        <f t="shared" si="13"/>
        <v>0.91739999999999999</v>
      </c>
    </row>
    <row r="837" spans="1:21" x14ac:dyDescent="0.2">
      <c r="A837" s="18" t="s">
        <v>2369</v>
      </c>
      <c r="B837" s="19" t="s">
        <v>2526</v>
      </c>
      <c r="C837" s="19" t="s">
        <v>2527</v>
      </c>
      <c r="D837" s="20">
        <v>0.57000000299999998</v>
      </c>
      <c r="E837" s="20">
        <v>0.15192167200000001</v>
      </c>
      <c r="F837" s="1">
        <v>0.43037484677931043</v>
      </c>
      <c r="G837" s="42"/>
      <c r="I837" s="43" t="s">
        <v>187</v>
      </c>
      <c r="J837" s="44"/>
      <c r="K837" s="35">
        <v>0</v>
      </c>
      <c r="L837" s="35">
        <v>0</v>
      </c>
      <c r="M837" s="35">
        <v>0.91749999999999998</v>
      </c>
      <c r="N837" s="21" t="s">
        <v>187</v>
      </c>
      <c r="Q837" s="22"/>
      <c r="R837" s="2"/>
      <c r="S837" s="2"/>
      <c r="T837" s="2"/>
      <c r="U837" s="34">
        <f t="shared" si="13"/>
        <v>0.91749999999999998</v>
      </c>
    </row>
    <row r="838" spans="1:21" x14ac:dyDescent="0.2">
      <c r="A838" s="18" t="s">
        <v>2245</v>
      </c>
      <c r="B838" s="19" t="s">
        <v>2528</v>
      </c>
      <c r="C838" s="19" t="s">
        <v>2529</v>
      </c>
      <c r="D838" s="20">
        <v>0.4105204495</v>
      </c>
      <c r="E838" s="20">
        <v>0.22417733475000001</v>
      </c>
      <c r="F838" s="1">
        <v>0.49374400420168546</v>
      </c>
      <c r="G838" s="42"/>
      <c r="I838" s="43" t="s">
        <v>187</v>
      </c>
      <c r="J838" s="44"/>
      <c r="K838" s="35">
        <v>0</v>
      </c>
      <c r="L838" s="35">
        <v>0</v>
      </c>
      <c r="M838" s="35">
        <v>0.96519999999999995</v>
      </c>
      <c r="N838" s="21" t="s">
        <v>187</v>
      </c>
      <c r="Q838" s="22"/>
      <c r="R838" s="2"/>
      <c r="S838" s="2"/>
      <c r="T838" s="2"/>
      <c r="U838" s="34">
        <f t="shared" si="13"/>
        <v>0.96519999999999995</v>
      </c>
    </row>
    <row r="839" spans="1:21" x14ac:dyDescent="0.2">
      <c r="A839" s="18" t="s">
        <v>2530</v>
      </c>
      <c r="B839" s="19" t="s">
        <v>2531</v>
      </c>
      <c r="C839" s="19" t="s">
        <v>2532</v>
      </c>
      <c r="D839" s="20">
        <v>0.1559865</v>
      </c>
      <c r="E839" s="20" t="s">
        <v>689</v>
      </c>
      <c r="F839" s="1">
        <v>0</v>
      </c>
      <c r="G839" s="42"/>
      <c r="I839" s="43" t="s">
        <v>187</v>
      </c>
      <c r="J839" s="44"/>
      <c r="K839" s="35" t="e">
        <v>#N/A</v>
      </c>
      <c r="L839" s="35" t="e">
        <v>#N/A</v>
      </c>
      <c r="M839" s="35" t="e">
        <v>#N/A</v>
      </c>
      <c r="N839" s="21"/>
      <c r="O839" s="2" t="s">
        <v>187</v>
      </c>
      <c r="Q839" s="22"/>
      <c r="R839" s="2"/>
      <c r="S839" s="2"/>
      <c r="T839" s="2"/>
      <c r="U839" s="34" t="e">
        <f t="shared" si="13"/>
        <v>#N/A</v>
      </c>
    </row>
    <row r="840" spans="1:21" x14ac:dyDescent="0.2">
      <c r="A840" s="18" t="s">
        <v>2533</v>
      </c>
      <c r="B840" s="19" t="s">
        <v>2534</v>
      </c>
      <c r="C840" s="19" t="s">
        <v>2535</v>
      </c>
      <c r="D840" s="20">
        <v>2.18512452</v>
      </c>
      <c r="E840" s="20">
        <v>3.4713148232499997</v>
      </c>
      <c r="F840" s="1">
        <v>60.906849661198876</v>
      </c>
      <c r="G840" s="42"/>
      <c r="J840" s="44" t="s">
        <v>187</v>
      </c>
      <c r="K840" s="35">
        <v>8.9999999999999998E-4</v>
      </c>
      <c r="L840" s="35">
        <v>6.2799999999999995E-2</v>
      </c>
      <c r="M840" s="35">
        <v>6.9999999999999999E-4</v>
      </c>
      <c r="N840" s="21"/>
      <c r="Q840" s="22"/>
      <c r="R840" s="2"/>
      <c r="S840" s="2"/>
      <c r="T840" s="2"/>
      <c r="U840" s="34">
        <f t="shared" si="13"/>
        <v>6.2799999999999995E-2</v>
      </c>
    </row>
    <row r="841" spans="1:21" x14ac:dyDescent="0.2">
      <c r="A841" s="18" t="s">
        <v>2536</v>
      </c>
      <c r="B841" s="19" t="s">
        <v>2537</v>
      </c>
      <c r="C841" s="19" t="s">
        <v>2538</v>
      </c>
      <c r="D841" s="20">
        <v>6.4835205626666665</v>
      </c>
      <c r="E841" s="20" t="s">
        <v>1340</v>
      </c>
      <c r="F841" s="1">
        <v>7.2129485527168287</v>
      </c>
      <c r="G841" s="42" t="s">
        <v>187</v>
      </c>
      <c r="J841" s="44"/>
      <c r="K841" s="35" t="e">
        <v>#N/A</v>
      </c>
      <c r="L841" s="35" t="e">
        <v>#N/A</v>
      </c>
      <c r="M841" s="35" t="e">
        <v>#N/A</v>
      </c>
      <c r="N841" s="21"/>
      <c r="Q841" s="22" t="s">
        <v>187</v>
      </c>
      <c r="R841" s="2"/>
      <c r="S841" s="2"/>
      <c r="T841" s="2"/>
      <c r="U841" s="34" t="e">
        <f t="shared" si="13"/>
        <v>#N/A</v>
      </c>
    </row>
    <row r="842" spans="1:21" x14ac:dyDescent="0.2">
      <c r="A842" s="18" t="s">
        <v>1576</v>
      </c>
      <c r="B842" s="19" t="s">
        <v>2539</v>
      </c>
      <c r="C842" s="19" t="s">
        <v>2540</v>
      </c>
      <c r="D842" s="20">
        <v>0.53984231300000007</v>
      </c>
      <c r="E842" s="20">
        <v>0.11633</v>
      </c>
      <c r="F842" s="1">
        <v>0</v>
      </c>
      <c r="G842" s="42"/>
      <c r="I842" s="43" t="s">
        <v>187</v>
      </c>
      <c r="J842" s="44"/>
      <c r="K842" s="35">
        <v>0</v>
      </c>
      <c r="L842" s="35">
        <v>0</v>
      </c>
      <c r="M842" s="35">
        <v>0.91710000000000003</v>
      </c>
      <c r="N842" s="21"/>
      <c r="O842" s="2" t="s">
        <v>187</v>
      </c>
      <c r="Q842" s="22"/>
      <c r="R842" s="2"/>
      <c r="S842" s="2"/>
      <c r="T842" s="2"/>
      <c r="U842" s="34">
        <f t="shared" si="13"/>
        <v>0.91710000000000003</v>
      </c>
    </row>
    <row r="843" spans="1:21" x14ac:dyDescent="0.2">
      <c r="A843" s="18" t="s">
        <v>1829</v>
      </c>
      <c r="B843" s="19" t="s">
        <v>2542</v>
      </c>
      <c r="C843" s="19" t="s">
        <v>2543</v>
      </c>
      <c r="D843" s="20">
        <v>0.221734599</v>
      </c>
      <c r="E843" s="20">
        <v>0.28565166533333336</v>
      </c>
      <c r="F843" s="1">
        <v>0.245895973387912</v>
      </c>
      <c r="G843" s="42"/>
      <c r="I843" s="43" t="s">
        <v>187</v>
      </c>
      <c r="J843" s="44"/>
      <c r="K843" s="35">
        <v>0</v>
      </c>
      <c r="L843" s="35">
        <v>0</v>
      </c>
      <c r="M843" s="35">
        <v>0.95960000000000001</v>
      </c>
      <c r="N843" s="21"/>
      <c r="O843" s="2" t="s">
        <v>187</v>
      </c>
      <c r="Q843" s="22"/>
      <c r="R843" s="2"/>
      <c r="S843" s="2"/>
      <c r="T843" s="2"/>
      <c r="U843" s="34">
        <f t="shared" si="13"/>
        <v>0.95960000000000001</v>
      </c>
    </row>
    <row r="844" spans="1:21" x14ac:dyDescent="0.2">
      <c r="A844" s="18" t="s">
        <v>2544</v>
      </c>
      <c r="B844" s="19" t="s">
        <v>2545</v>
      </c>
      <c r="C844" s="19" t="s">
        <v>2546</v>
      </c>
      <c r="D844" s="20">
        <v>1.1983999999999999</v>
      </c>
      <c r="E844" s="20">
        <v>2.9546000000000001</v>
      </c>
      <c r="F844" s="1">
        <v>1.2977311717578304</v>
      </c>
      <c r="G844" s="42"/>
      <c r="J844" s="44" t="s">
        <v>187</v>
      </c>
      <c r="K844" s="35">
        <v>0</v>
      </c>
      <c r="L844" s="35">
        <v>0.18340000000000001</v>
      </c>
      <c r="M844" s="35">
        <v>6.54E-2</v>
      </c>
      <c r="N844" s="21"/>
      <c r="Q844" s="22"/>
      <c r="R844" s="2"/>
      <c r="S844" s="2"/>
      <c r="T844" s="2"/>
      <c r="U844" s="34">
        <f t="shared" si="13"/>
        <v>0.18340000000000001</v>
      </c>
    </row>
    <row r="845" spans="1:21" x14ac:dyDescent="0.2">
      <c r="A845" s="18" t="s">
        <v>2547</v>
      </c>
      <c r="B845" s="19" t="s">
        <v>2548</v>
      </c>
      <c r="C845" s="19" t="s">
        <v>2549</v>
      </c>
      <c r="D845" s="20">
        <v>3.2375935342500002</v>
      </c>
      <c r="E845" s="20">
        <v>4.9563480069999999</v>
      </c>
      <c r="F845" s="1">
        <v>6.4178705221498875</v>
      </c>
      <c r="G845" s="42"/>
      <c r="J845" s="44" t="s">
        <v>187</v>
      </c>
      <c r="K845" s="35">
        <v>7.0999999999999994E-2</v>
      </c>
      <c r="L845" s="35">
        <v>9.2200000000000004E-2</v>
      </c>
      <c r="M845" s="35">
        <v>0</v>
      </c>
      <c r="N845" s="21"/>
      <c r="P845" s="2" t="s">
        <v>187</v>
      </c>
      <c r="Q845" s="22"/>
      <c r="R845" s="2"/>
      <c r="S845" s="2"/>
      <c r="T845" s="2"/>
      <c r="U845" s="34">
        <f t="shared" si="13"/>
        <v>9.2200000000000004E-2</v>
      </c>
    </row>
    <row r="846" spans="1:21" x14ac:dyDescent="0.2">
      <c r="A846" s="18" t="s">
        <v>2550</v>
      </c>
      <c r="B846" s="19" t="s">
        <v>2551</v>
      </c>
      <c r="C846" s="19" t="s">
        <v>2552</v>
      </c>
      <c r="D846" s="20">
        <v>8.6423805285000004</v>
      </c>
      <c r="E846" s="20">
        <v>4.6513910332500004</v>
      </c>
      <c r="F846" s="1">
        <v>1.4907270896093965</v>
      </c>
      <c r="G846" s="42"/>
      <c r="J846" s="44" t="s">
        <v>187</v>
      </c>
      <c r="K846" s="35">
        <v>0.15859999999999999</v>
      </c>
      <c r="L846" s="35">
        <v>2.0000000000000001E-4</v>
      </c>
      <c r="M846" s="35">
        <v>0</v>
      </c>
      <c r="N846" s="21"/>
      <c r="Q846" s="22"/>
      <c r="R846" s="2"/>
      <c r="S846" s="2"/>
      <c r="T846" s="2"/>
      <c r="U846" s="34">
        <f t="shared" si="13"/>
        <v>0.15859999999999999</v>
      </c>
    </row>
    <row r="847" spans="1:21" x14ac:dyDescent="0.2">
      <c r="A847" s="18" t="s">
        <v>2553</v>
      </c>
      <c r="B847" s="19" t="s">
        <v>2554</v>
      </c>
      <c r="C847" s="19" t="s">
        <v>2555</v>
      </c>
      <c r="D847" s="20">
        <v>2.077489935</v>
      </c>
      <c r="E847" s="20">
        <v>4.9206074757499998</v>
      </c>
      <c r="F847" s="1">
        <v>17.588074233736737</v>
      </c>
      <c r="G847" s="42"/>
      <c r="J847" s="44" t="s">
        <v>187</v>
      </c>
      <c r="K847" s="35">
        <v>1.01E-2</v>
      </c>
      <c r="L847" s="35">
        <v>0.39729999999999999</v>
      </c>
      <c r="M847" s="35">
        <v>4.0000000000000002E-4</v>
      </c>
      <c r="N847" s="21"/>
      <c r="P847" s="2" t="s">
        <v>187</v>
      </c>
      <c r="Q847" s="22"/>
      <c r="R847" s="2"/>
      <c r="S847" s="2"/>
      <c r="T847" s="2"/>
      <c r="U847" s="34">
        <f t="shared" si="13"/>
        <v>0.39729999999999999</v>
      </c>
    </row>
    <row r="848" spans="1:21" x14ac:dyDescent="0.2">
      <c r="A848" s="18" t="s">
        <v>2556</v>
      </c>
      <c r="B848" s="19" t="s">
        <v>2557</v>
      </c>
      <c r="C848" s="19" t="s">
        <v>2558</v>
      </c>
      <c r="D848" s="20">
        <v>1.840075876</v>
      </c>
      <c r="E848" s="20">
        <v>5.2321773633333324</v>
      </c>
      <c r="F848" s="1">
        <v>21.802776307100061</v>
      </c>
      <c r="G848" s="42"/>
      <c r="J848" s="44" t="s">
        <v>187</v>
      </c>
      <c r="K848" s="35">
        <v>6.4999999999999997E-3</v>
      </c>
      <c r="L848" s="35">
        <v>0.57809999999999995</v>
      </c>
      <c r="M848" s="35">
        <v>6.9999999999999999E-4</v>
      </c>
      <c r="N848" s="21"/>
      <c r="Q848" s="22"/>
      <c r="R848" s="2"/>
      <c r="S848" s="2"/>
      <c r="T848" s="2"/>
      <c r="U848" s="34">
        <f t="shared" si="13"/>
        <v>0.57809999999999995</v>
      </c>
    </row>
    <row r="849" spans="1:21" x14ac:dyDescent="0.2">
      <c r="A849" s="18" t="s">
        <v>2559</v>
      </c>
      <c r="B849" s="19" t="s">
        <v>2560</v>
      </c>
      <c r="C849" s="19" t="s">
        <v>2561</v>
      </c>
      <c r="D849" s="20">
        <v>8.6201602922500005</v>
      </c>
      <c r="E849" s="20">
        <v>15.8003544225</v>
      </c>
      <c r="F849" s="1">
        <v>0.75260008407540213</v>
      </c>
      <c r="G849" s="42" t="s">
        <v>187</v>
      </c>
      <c r="J849" s="44"/>
      <c r="K849" s="35">
        <v>0.98129999999999995</v>
      </c>
      <c r="L849" s="35">
        <v>4.0000000000000001E-3</v>
      </c>
      <c r="M849" s="35">
        <v>0</v>
      </c>
      <c r="N849" s="21"/>
      <c r="Q849" s="22" t="s">
        <v>187</v>
      </c>
      <c r="R849" s="2"/>
      <c r="S849" s="2"/>
      <c r="T849" s="2"/>
      <c r="U849" s="34">
        <f t="shared" si="13"/>
        <v>0.98129999999999995</v>
      </c>
    </row>
    <row r="850" spans="1:21" x14ac:dyDescent="0.2">
      <c r="A850" s="18" t="s">
        <v>2562</v>
      </c>
      <c r="B850" s="19" t="s">
        <v>2563</v>
      </c>
      <c r="C850" s="19" t="s">
        <v>2564</v>
      </c>
      <c r="D850" s="20">
        <v>2.6187432230000001</v>
      </c>
      <c r="E850" s="20">
        <v>2.9231528490000001</v>
      </c>
      <c r="F850" s="1">
        <v>0.41527397496245377</v>
      </c>
      <c r="G850" s="42"/>
      <c r="J850" s="44" t="s">
        <v>187</v>
      </c>
      <c r="K850" s="35">
        <v>2.9999999999999997E-4</v>
      </c>
      <c r="L850" s="35">
        <v>8.0000000000000002E-3</v>
      </c>
      <c r="M850" s="35">
        <v>2.0000000000000001E-4</v>
      </c>
      <c r="N850" s="21"/>
      <c r="Q850" s="22"/>
      <c r="R850" s="2"/>
      <c r="S850" s="2"/>
      <c r="T850" s="2"/>
      <c r="U850" s="34">
        <f t="shared" si="13"/>
        <v>8.0000000000000002E-3</v>
      </c>
    </row>
    <row r="851" spans="1:21" x14ac:dyDescent="0.2">
      <c r="A851" s="18" t="s">
        <v>2401</v>
      </c>
      <c r="B851" s="19" t="s">
        <v>2565</v>
      </c>
      <c r="C851" s="19" t="s">
        <v>2566</v>
      </c>
      <c r="D851" s="20">
        <v>0.29116386599999999</v>
      </c>
      <c r="E851" s="20">
        <v>1.2365473800000002</v>
      </c>
      <c r="F851" s="1">
        <v>0.3295825198116078</v>
      </c>
      <c r="G851" s="42"/>
      <c r="I851" s="43" t="s">
        <v>187</v>
      </c>
      <c r="J851" s="44"/>
      <c r="K851" s="35">
        <v>0</v>
      </c>
      <c r="L851" s="35">
        <v>2.3999999999999998E-3</v>
      </c>
      <c r="M851" s="35">
        <v>0.91180000000000005</v>
      </c>
      <c r="N851" s="21" t="s">
        <v>187</v>
      </c>
      <c r="Q851" s="22"/>
      <c r="R851" s="2"/>
      <c r="S851" s="2"/>
      <c r="T851" s="2"/>
      <c r="U851" s="34">
        <f t="shared" si="13"/>
        <v>0.91180000000000005</v>
      </c>
    </row>
    <row r="852" spans="1:21" x14ac:dyDescent="0.2">
      <c r="A852" s="18" t="s">
        <v>2567</v>
      </c>
      <c r="B852" s="19" t="s">
        <v>2568</v>
      </c>
      <c r="C852" s="19" t="s">
        <v>2569</v>
      </c>
      <c r="D852" s="20">
        <v>4.99023489</v>
      </c>
      <c r="E852" s="20">
        <v>28.118083817499997</v>
      </c>
      <c r="F852" s="1">
        <v>0.33206291506883695</v>
      </c>
      <c r="G852" s="42" t="s">
        <v>187</v>
      </c>
      <c r="J852" s="44"/>
      <c r="K852" s="35">
        <v>0.68100000000000005</v>
      </c>
      <c r="L852" s="35">
        <v>0.26900000000000002</v>
      </c>
      <c r="M852" s="35">
        <v>0</v>
      </c>
      <c r="N852" s="21"/>
      <c r="Q852" s="22" t="s">
        <v>187</v>
      </c>
      <c r="R852" s="2"/>
      <c r="S852" s="2"/>
      <c r="T852" s="2"/>
      <c r="U852" s="34">
        <f t="shared" si="13"/>
        <v>0.68100000000000005</v>
      </c>
    </row>
    <row r="853" spans="1:21" x14ac:dyDescent="0.2">
      <c r="A853" s="18" t="s">
        <v>2571</v>
      </c>
      <c r="B853" s="19" t="s">
        <v>2572</v>
      </c>
      <c r="C853" s="19" t="s">
        <v>2573</v>
      </c>
      <c r="D853" s="20">
        <v>2.3251016719999997</v>
      </c>
      <c r="E853" s="20">
        <v>6.4597400005000001</v>
      </c>
      <c r="F853" s="1">
        <v>0.65887510818065709</v>
      </c>
      <c r="G853" s="42"/>
      <c r="J853" s="44" t="s">
        <v>187</v>
      </c>
      <c r="K853" s="35">
        <v>5.9799999999999999E-2</v>
      </c>
      <c r="L853" s="35">
        <v>0.59109999999999996</v>
      </c>
      <c r="M853" s="35">
        <v>1E-4</v>
      </c>
      <c r="N853" s="21"/>
      <c r="Q853" s="22"/>
      <c r="R853" s="2"/>
      <c r="S853" s="2"/>
      <c r="T853" s="2"/>
      <c r="U853" s="34">
        <f t="shared" si="13"/>
        <v>0.59109999999999996</v>
      </c>
    </row>
    <row r="854" spans="1:21" x14ac:dyDescent="0.2">
      <c r="A854" s="18" t="s">
        <v>2240</v>
      </c>
      <c r="B854" s="19" t="s">
        <v>2574</v>
      </c>
      <c r="C854" s="19" t="s">
        <v>2575</v>
      </c>
      <c r="D854" s="20">
        <v>0.32471500966666667</v>
      </c>
      <c r="E854" s="20">
        <v>0.45576899549999994</v>
      </c>
      <c r="F854" s="1">
        <v>7.8353580181608512E-2</v>
      </c>
      <c r="G854" s="42"/>
      <c r="I854" s="43" t="s">
        <v>187</v>
      </c>
      <c r="J854" s="44"/>
      <c r="K854" s="35">
        <v>0</v>
      </c>
      <c r="L854" s="35">
        <v>0</v>
      </c>
      <c r="M854" s="35">
        <v>0.96609999999999996</v>
      </c>
      <c r="N854" s="21" t="s">
        <v>187</v>
      </c>
      <c r="Q854" s="22"/>
      <c r="R854" s="2"/>
      <c r="S854" s="2"/>
      <c r="T854" s="2"/>
      <c r="U854" s="34">
        <f t="shared" si="13"/>
        <v>0.96609999999999996</v>
      </c>
    </row>
    <row r="855" spans="1:21" x14ac:dyDescent="0.2">
      <c r="A855" s="18" t="s">
        <v>2121</v>
      </c>
      <c r="B855" s="19" t="s">
        <v>2576</v>
      </c>
      <c r="C855" s="19" t="s">
        <v>2577</v>
      </c>
      <c r="D855" s="20">
        <v>0.1848391445</v>
      </c>
      <c r="E855" s="20">
        <v>0.321085024</v>
      </c>
      <c r="F855" s="1">
        <v>0.47266956499796692</v>
      </c>
      <c r="G855" s="42"/>
      <c r="I855" s="43" t="s">
        <v>187</v>
      </c>
      <c r="J855" s="44"/>
      <c r="K855" s="35">
        <v>0</v>
      </c>
      <c r="L855" s="35">
        <v>0</v>
      </c>
      <c r="M855" s="35">
        <v>0.9365</v>
      </c>
      <c r="N855" s="21" t="s">
        <v>187</v>
      </c>
      <c r="Q855" s="22"/>
      <c r="R855" s="2"/>
      <c r="S855" s="2"/>
      <c r="T855" s="2"/>
      <c r="U855" s="34">
        <f t="shared" si="13"/>
        <v>0.9365</v>
      </c>
    </row>
    <row r="856" spans="1:21" x14ac:dyDescent="0.2">
      <c r="A856" s="18" t="s">
        <v>2396</v>
      </c>
      <c r="B856" s="19" t="s">
        <v>2578</v>
      </c>
      <c r="C856" s="19" t="s">
        <v>2579</v>
      </c>
      <c r="D856" s="20">
        <v>0.26488648974999995</v>
      </c>
      <c r="E856" s="20">
        <v>0.12835360066666668</v>
      </c>
      <c r="F856" s="1">
        <v>9.689726082458873E-2</v>
      </c>
      <c r="G856" s="42"/>
      <c r="I856" s="43" t="s">
        <v>187</v>
      </c>
      <c r="J856" s="44"/>
      <c r="K856" s="35">
        <v>0</v>
      </c>
      <c r="L856" s="35">
        <v>0</v>
      </c>
      <c r="M856" s="35">
        <v>0.96579999999999999</v>
      </c>
      <c r="N856" s="21" t="s">
        <v>187</v>
      </c>
      <c r="Q856" s="22"/>
      <c r="R856" s="2"/>
      <c r="S856" s="2"/>
      <c r="T856" s="2"/>
      <c r="U856" s="34">
        <f t="shared" si="13"/>
        <v>0.96579999999999999</v>
      </c>
    </row>
    <row r="857" spans="1:21" x14ac:dyDescent="0.2">
      <c r="A857" s="18" t="s">
        <v>2432</v>
      </c>
      <c r="B857" s="19" t="s">
        <v>2580</v>
      </c>
      <c r="C857" s="19" t="s">
        <v>2581</v>
      </c>
      <c r="D857" s="20">
        <v>1.184569073</v>
      </c>
      <c r="E857" s="20">
        <v>0.19111795325</v>
      </c>
      <c r="F857" s="1">
        <v>8.1670548409319164</v>
      </c>
      <c r="G857" s="42"/>
      <c r="I857" s="43" t="s">
        <v>187</v>
      </c>
      <c r="J857" s="44"/>
      <c r="K857" s="35">
        <v>0</v>
      </c>
      <c r="L857" s="35">
        <v>0</v>
      </c>
      <c r="M857" s="35">
        <v>0.22650000000000001</v>
      </c>
      <c r="N857" s="21" t="s">
        <v>187</v>
      </c>
      <c r="Q857" s="22"/>
      <c r="R857" s="2"/>
      <c r="S857" s="2"/>
      <c r="T857" s="2"/>
      <c r="U857" s="34">
        <f t="shared" si="13"/>
        <v>0.22650000000000001</v>
      </c>
    </row>
    <row r="858" spans="1:21" x14ac:dyDescent="0.2">
      <c r="A858" s="18" t="s">
        <v>2582</v>
      </c>
      <c r="B858" s="19" t="s">
        <v>2583</v>
      </c>
      <c r="C858" s="19" t="s">
        <v>2584</v>
      </c>
      <c r="D858" s="20">
        <v>0.37854843699999996</v>
      </c>
      <c r="E858" s="20">
        <v>3.5736899199999996</v>
      </c>
      <c r="F858" s="1">
        <v>0</v>
      </c>
      <c r="G858" s="42"/>
      <c r="H858" s="49" t="s">
        <v>187</v>
      </c>
      <c r="J858" s="44"/>
      <c r="K858" s="35">
        <v>0</v>
      </c>
      <c r="L858" s="35">
        <v>0.63780000000000003</v>
      </c>
      <c r="M858" s="35">
        <v>0.2402</v>
      </c>
      <c r="N858" s="21"/>
      <c r="O858" s="2" t="s">
        <v>187</v>
      </c>
      <c r="Q858" s="22"/>
      <c r="R858" s="2"/>
      <c r="S858" s="2"/>
      <c r="T858" s="2"/>
      <c r="U858" s="34">
        <f t="shared" si="13"/>
        <v>0.63780000000000003</v>
      </c>
    </row>
    <row r="859" spans="1:21" x14ac:dyDescent="0.2">
      <c r="A859" s="18" t="s">
        <v>2585</v>
      </c>
      <c r="B859" s="19" t="s">
        <v>2586</v>
      </c>
      <c r="C859" s="19" t="s">
        <v>2587</v>
      </c>
      <c r="D859" s="20">
        <v>0.70399</v>
      </c>
      <c r="E859" s="20">
        <v>2.2276000800000002</v>
      </c>
      <c r="F859" s="1">
        <v>0.37752179542058573</v>
      </c>
      <c r="G859" s="42"/>
      <c r="J859" s="44" t="s">
        <v>187</v>
      </c>
      <c r="K859" s="35">
        <v>0</v>
      </c>
      <c r="L859" s="35">
        <v>7.22E-2</v>
      </c>
      <c r="M859" s="35">
        <v>0.57499999999999996</v>
      </c>
      <c r="N859" s="21"/>
      <c r="Q859" s="22"/>
      <c r="R859" s="2"/>
      <c r="S859" s="2"/>
      <c r="T859" s="2"/>
      <c r="U859" s="34">
        <f t="shared" si="13"/>
        <v>0.57499999999999996</v>
      </c>
    </row>
    <row r="860" spans="1:21" x14ac:dyDescent="0.2">
      <c r="A860" s="18" t="s">
        <v>2588</v>
      </c>
      <c r="B860" s="19" t="s">
        <v>2589</v>
      </c>
      <c r="C860" s="19" t="s">
        <v>2590</v>
      </c>
      <c r="D860" s="20">
        <v>3.5661609426666665</v>
      </c>
      <c r="E860" s="20">
        <v>6.6880684859999997</v>
      </c>
      <c r="F860" s="1" t="s">
        <v>47</v>
      </c>
      <c r="G860" s="42"/>
      <c r="J860" s="44" t="s">
        <v>187</v>
      </c>
      <c r="K860" s="35">
        <v>0.38929999999999998</v>
      </c>
      <c r="L860" s="35">
        <v>0.1686</v>
      </c>
      <c r="M860" s="35">
        <v>0</v>
      </c>
      <c r="N860" s="21"/>
      <c r="Q860" s="22"/>
      <c r="R860" s="2"/>
      <c r="S860" s="2"/>
      <c r="T860" s="2"/>
      <c r="U860" s="34">
        <f t="shared" si="13"/>
        <v>0.38929999999999998</v>
      </c>
    </row>
    <row r="861" spans="1:21" x14ac:dyDescent="0.2">
      <c r="A861" s="18" t="s">
        <v>2591</v>
      </c>
      <c r="B861" s="19" t="s">
        <v>2592</v>
      </c>
      <c r="C861" s="19" t="s">
        <v>2593</v>
      </c>
      <c r="D861" s="20">
        <v>2.9643098525</v>
      </c>
      <c r="E861" s="20">
        <v>0.29005999999999998</v>
      </c>
      <c r="F861" s="1">
        <v>30.204222064482618</v>
      </c>
      <c r="G861" s="42"/>
      <c r="J861" s="44" t="s">
        <v>187</v>
      </c>
      <c r="K861" s="35">
        <v>0</v>
      </c>
      <c r="L861" s="35">
        <v>0</v>
      </c>
      <c r="M861" s="35">
        <v>1E-4</v>
      </c>
      <c r="N861" s="21"/>
      <c r="Q861" s="22"/>
      <c r="R861" s="2"/>
      <c r="S861" s="2"/>
      <c r="T861" s="2"/>
      <c r="U861" s="34">
        <f t="shared" si="13"/>
        <v>1E-4</v>
      </c>
    </row>
    <row r="862" spans="1:21" x14ac:dyDescent="0.2">
      <c r="A862" s="18" t="s">
        <v>2594</v>
      </c>
      <c r="B862" s="19" t="s">
        <v>2595</v>
      </c>
      <c r="C862" s="19" t="s">
        <v>2596</v>
      </c>
      <c r="D862" s="20">
        <v>0.62785759649999995</v>
      </c>
      <c r="E862" s="20">
        <v>11.630413746</v>
      </c>
      <c r="F862" s="1">
        <v>0.11535388193404472</v>
      </c>
      <c r="G862" s="42"/>
      <c r="H862" s="43" t="s">
        <v>187</v>
      </c>
      <c r="J862" s="44"/>
      <c r="K862" s="35">
        <v>0</v>
      </c>
      <c r="L862" s="35">
        <v>0.97050000000000003</v>
      </c>
      <c r="M862" s="35">
        <v>1.8E-3</v>
      </c>
      <c r="N862" s="21"/>
      <c r="O862" s="2" t="s">
        <v>187</v>
      </c>
      <c r="Q862" s="22"/>
      <c r="R862" s="2"/>
      <c r="S862" s="2"/>
      <c r="T862" s="2"/>
      <c r="U862" s="34">
        <f t="shared" si="13"/>
        <v>0.97050000000000003</v>
      </c>
    </row>
    <row r="863" spans="1:21" x14ac:dyDescent="0.2">
      <c r="A863" s="18" t="s">
        <v>2597</v>
      </c>
      <c r="B863" s="19" t="s">
        <v>2598</v>
      </c>
      <c r="C863" s="19" t="s">
        <v>2599</v>
      </c>
      <c r="D863" s="20">
        <v>1.73393644425</v>
      </c>
      <c r="E863" s="20">
        <v>5.4581910650000003</v>
      </c>
      <c r="F863" s="1">
        <v>1.8039050496105615</v>
      </c>
      <c r="G863" s="42"/>
      <c r="J863" s="44" t="s">
        <v>187</v>
      </c>
      <c r="K863" s="35">
        <v>5.3E-3</v>
      </c>
      <c r="L863" s="35">
        <v>0.66830000000000001</v>
      </c>
      <c r="M863" s="35">
        <v>8.0000000000000004E-4</v>
      </c>
      <c r="N863" s="21"/>
      <c r="Q863" s="22"/>
      <c r="R863" s="2"/>
      <c r="S863" s="2"/>
      <c r="T863" s="2"/>
      <c r="U863" s="34">
        <f t="shared" si="13"/>
        <v>0.66830000000000001</v>
      </c>
    </row>
    <row r="864" spans="1:21" x14ac:dyDescent="0.2">
      <c r="A864" s="18" t="s">
        <v>2600</v>
      </c>
      <c r="B864" s="19" t="s">
        <v>2601</v>
      </c>
      <c r="C864" s="19" t="s">
        <v>2602</v>
      </c>
      <c r="D864" s="20">
        <v>0.35416768800000004</v>
      </c>
      <c r="E864" s="20">
        <v>6.6285871240000001</v>
      </c>
      <c r="F864" s="1">
        <v>5.5554429539424639</v>
      </c>
      <c r="G864" s="42"/>
      <c r="H864" s="43" t="s">
        <v>187</v>
      </c>
      <c r="J864" s="44"/>
      <c r="K864" s="35">
        <v>0</v>
      </c>
      <c r="L864" s="35">
        <v>0.92859999999999998</v>
      </c>
      <c r="M864" s="35">
        <v>2.2200000000000001E-2</v>
      </c>
      <c r="N864" s="21" t="s">
        <v>187</v>
      </c>
      <c r="Q864" s="22"/>
      <c r="R864" s="2"/>
      <c r="S864" s="2"/>
      <c r="T864" s="2"/>
      <c r="U864" s="34">
        <f t="shared" si="13"/>
        <v>0.92859999999999998</v>
      </c>
    </row>
    <row r="865" spans="1:21" x14ac:dyDescent="0.2">
      <c r="A865" s="18" t="s">
        <v>2603</v>
      </c>
      <c r="B865" s="19" t="s">
        <v>2604</v>
      </c>
      <c r="C865" s="19" t="s">
        <v>2605</v>
      </c>
      <c r="D865" s="20">
        <v>0.56968234699999998</v>
      </c>
      <c r="E865" s="20">
        <v>2.762112364</v>
      </c>
      <c r="F865" s="1">
        <v>35.713561846764669</v>
      </c>
      <c r="G865" s="42"/>
      <c r="J865" s="44" t="s">
        <v>187</v>
      </c>
      <c r="K865" s="35">
        <v>0</v>
      </c>
      <c r="L865" s="35">
        <v>0.26779999999999998</v>
      </c>
      <c r="M865" s="35">
        <v>0.49459999999999998</v>
      </c>
      <c r="N865" s="21"/>
      <c r="Q865" s="22"/>
      <c r="R865" s="2"/>
      <c r="S865" s="2"/>
      <c r="T865" s="2"/>
      <c r="U865" s="34">
        <f t="shared" si="13"/>
        <v>0.49459999999999998</v>
      </c>
    </row>
    <row r="866" spans="1:21" x14ac:dyDescent="0.2">
      <c r="A866" s="18" t="s">
        <v>2606</v>
      </c>
      <c r="B866" s="19" t="s">
        <v>2607</v>
      </c>
      <c r="C866" s="19" t="s">
        <v>2608</v>
      </c>
      <c r="D866" s="20">
        <v>0.46287588433333332</v>
      </c>
      <c r="E866" s="20" t="s">
        <v>2609</v>
      </c>
      <c r="F866" s="1">
        <v>2.2082028827385853</v>
      </c>
      <c r="G866" s="42"/>
      <c r="I866" s="43" t="s">
        <v>187</v>
      </c>
      <c r="J866" s="44"/>
      <c r="K866" s="35" t="e">
        <v>#N/A</v>
      </c>
      <c r="L866" s="35" t="e">
        <v>#N/A</v>
      </c>
      <c r="M866" s="35" t="e">
        <v>#N/A</v>
      </c>
      <c r="N866" s="21" t="s">
        <v>187</v>
      </c>
      <c r="Q866" s="22"/>
      <c r="R866" s="2"/>
      <c r="S866" s="2"/>
      <c r="T866" s="2"/>
      <c r="U866" s="34" t="e">
        <f t="shared" si="13"/>
        <v>#N/A</v>
      </c>
    </row>
    <row r="867" spans="1:21" x14ac:dyDescent="0.2">
      <c r="A867" s="18" t="s">
        <v>2541</v>
      </c>
      <c r="B867" s="19" t="s">
        <v>2610</v>
      </c>
      <c r="C867" s="19" t="s">
        <v>2611</v>
      </c>
      <c r="D867" s="20">
        <v>0.31703764249999999</v>
      </c>
      <c r="E867" s="20">
        <v>0.49724000000000002</v>
      </c>
      <c r="F867" s="1">
        <v>3.0993138312438786</v>
      </c>
      <c r="G867" s="42"/>
      <c r="I867" s="43" t="s">
        <v>187</v>
      </c>
      <c r="J867" s="44"/>
      <c r="K867" s="35">
        <v>0</v>
      </c>
      <c r="L867" s="35">
        <v>0</v>
      </c>
      <c r="M867" s="35">
        <v>0.96440000000000003</v>
      </c>
      <c r="N867" s="21" t="s">
        <v>187</v>
      </c>
      <c r="Q867" s="22"/>
      <c r="R867" s="2"/>
      <c r="S867" s="2"/>
      <c r="T867" s="2"/>
      <c r="U867" s="34">
        <f t="shared" si="13"/>
        <v>0.96440000000000003</v>
      </c>
    </row>
    <row r="868" spans="1:21" x14ac:dyDescent="0.2">
      <c r="A868" s="18" t="s">
        <v>2612</v>
      </c>
      <c r="B868" s="19" t="s">
        <v>2613</v>
      </c>
      <c r="C868" s="19" t="s">
        <v>2614</v>
      </c>
      <c r="D868" s="20">
        <v>8.5749135649999992</v>
      </c>
      <c r="E868" s="20">
        <v>7.0556692300000003</v>
      </c>
      <c r="F868" s="1">
        <v>6.9212329160464447</v>
      </c>
      <c r="G868" s="42" t="s">
        <v>187</v>
      </c>
      <c r="J868" s="44"/>
      <c r="K868" s="35">
        <v>0.80789999999999995</v>
      </c>
      <c r="L868" s="35">
        <v>1E-3</v>
      </c>
      <c r="M868" s="35">
        <v>0</v>
      </c>
      <c r="N868" s="21"/>
      <c r="Q868" s="22" t="s">
        <v>187</v>
      </c>
      <c r="R868" s="2"/>
      <c r="S868" s="2"/>
      <c r="T868" s="2"/>
      <c r="U868" s="34">
        <f t="shared" si="13"/>
        <v>0.80789999999999995</v>
      </c>
    </row>
    <row r="869" spans="1:21" x14ac:dyDescent="0.2">
      <c r="A869" s="18" t="s">
        <v>2615</v>
      </c>
      <c r="B869" s="19" t="s">
        <v>2616</v>
      </c>
      <c r="C869" s="19" t="s">
        <v>2617</v>
      </c>
      <c r="D869" s="20">
        <v>0.52391164766666665</v>
      </c>
      <c r="E869" s="20">
        <v>9.6272944697499998</v>
      </c>
      <c r="F869" s="1">
        <v>0</v>
      </c>
      <c r="G869" s="42"/>
      <c r="H869" s="43" t="s">
        <v>187</v>
      </c>
      <c r="J869" s="44"/>
      <c r="K869" s="35">
        <v>0</v>
      </c>
      <c r="L869" s="35">
        <v>0.9647</v>
      </c>
      <c r="M869" s="35">
        <v>4.4999999999999997E-3</v>
      </c>
      <c r="N869" s="21"/>
      <c r="O869" s="2" t="s">
        <v>187</v>
      </c>
      <c r="Q869" s="22"/>
      <c r="R869" s="2"/>
      <c r="S869" s="2"/>
      <c r="T869" s="2"/>
      <c r="U869" s="34">
        <f t="shared" si="13"/>
        <v>0.9647</v>
      </c>
    </row>
    <row r="870" spans="1:21" x14ac:dyDescent="0.2">
      <c r="A870" s="18" t="s">
        <v>2618</v>
      </c>
      <c r="B870" s="19" t="s">
        <v>2619</v>
      </c>
      <c r="C870" s="19" t="s">
        <v>2620</v>
      </c>
      <c r="D870" s="20">
        <v>23.746030588333337</v>
      </c>
      <c r="E870" s="20" t="s">
        <v>1340</v>
      </c>
      <c r="F870" s="1">
        <v>0</v>
      </c>
      <c r="G870" s="42" t="s">
        <v>187</v>
      </c>
      <c r="J870" s="44"/>
      <c r="K870" s="35" t="e">
        <v>#N/A</v>
      </c>
      <c r="L870" s="35" t="e">
        <v>#N/A</v>
      </c>
      <c r="M870" s="35" t="e">
        <v>#N/A</v>
      </c>
      <c r="N870" s="21"/>
      <c r="Q870" s="22" t="s">
        <v>187</v>
      </c>
      <c r="R870" s="2"/>
      <c r="S870" s="2"/>
      <c r="T870" s="2"/>
      <c r="U870" s="34" t="e">
        <f t="shared" si="13"/>
        <v>#N/A</v>
      </c>
    </row>
    <row r="871" spans="1:21" x14ac:dyDescent="0.2">
      <c r="A871" s="18" t="s">
        <v>2621</v>
      </c>
      <c r="B871" s="19" t="s">
        <v>2621</v>
      </c>
      <c r="C871" s="19" t="s">
        <v>2622</v>
      </c>
      <c r="D871" s="20">
        <v>8.7573156106666676</v>
      </c>
      <c r="E871" s="20">
        <v>10.612293402500001</v>
      </c>
      <c r="F871" s="1">
        <v>0</v>
      </c>
      <c r="G871" s="42" t="s">
        <v>187</v>
      </c>
      <c r="J871" s="44"/>
      <c r="K871" s="35">
        <v>0.96560000000000001</v>
      </c>
      <c r="L871" s="35">
        <v>1.5E-3</v>
      </c>
      <c r="M871" s="35">
        <v>0</v>
      </c>
      <c r="N871" s="21"/>
      <c r="Q871" s="22" t="s">
        <v>187</v>
      </c>
      <c r="R871" s="2"/>
      <c r="S871" s="2"/>
      <c r="T871" s="2"/>
      <c r="U871" s="34">
        <f t="shared" si="13"/>
        <v>0.96560000000000001</v>
      </c>
    </row>
    <row r="872" spans="1:21" x14ac:dyDescent="0.2">
      <c r="A872" s="18" t="s">
        <v>1492</v>
      </c>
      <c r="B872" s="19" t="s">
        <v>1492</v>
      </c>
      <c r="C872" s="19" t="s">
        <v>2623</v>
      </c>
      <c r="D872" s="20">
        <v>0.16699597350000001</v>
      </c>
      <c r="E872" s="20">
        <v>0.17034055666666667</v>
      </c>
      <c r="F872" s="1">
        <v>3.3810696340897928</v>
      </c>
      <c r="G872" s="42"/>
      <c r="I872" s="43" t="s">
        <v>187</v>
      </c>
      <c r="J872" s="44"/>
      <c r="K872" s="35">
        <v>0</v>
      </c>
      <c r="L872" s="35">
        <v>0</v>
      </c>
      <c r="M872" s="35">
        <v>0.92559999999999998</v>
      </c>
      <c r="N872" s="21"/>
      <c r="O872" s="2" t="s">
        <v>187</v>
      </c>
      <c r="Q872" s="22"/>
      <c r="R872" s="2"/>
      <c r="S872" s="2"/>
      <c r="T872" s="2"/>
      <c r="U872" s="34">
        <f t="shared" si="13"/>
        <v>0.92559999999999998</v>
      </c>
    </row>
    <row r="873" spans="1:21" x14ac:dyDescent="0.2">
      <c r="A873" s="18" t="s">
        <v>1909</v>
      </c>
      <c r="B873" s="19" t="s">
        <v>1909</v>
      </c>
      <c r="C873" s="19" t="s">
        <v>2624</v>
      </c>
      <c r="D873" s="20">
        <v>0.24580009725000002</v>
      </c>
      <c r="E873" s="20">
        <v>0.33245926533333331</v>
      </c>
      <c r="F873" s="1">
        <v>2.8838470483527365E-2</v>
      </c>
      <c r="G873" s="42"/>
      <c r="I873" s="43" t="s">
        <v>187</v>
      </c>
      <c r="J873" s="44"/>
      <c r="K873" s="35">
        <v>0</v>
      </c>
      <c r="L873" s="35">
        <v>0</v>
      </c>
      <c r="M873" s="35">
        <v>0.96399999999999997</v>
      </c>
      <c r="N873" s="21"/>
      <c r="O873" s="2" t="s">
        <v>187</v>
      </c>
      <c r="Q873" s="22"/>
      <c r="R873" s="2"/>
      <c r="S873" s="2"/>
      <c r="T873" s="2"/>
      <c r="U873" s="34">
        <f t="shared" si="13"/>
        <v>0.96399999999999997</v>
      </c>
    </row>
    <row r="874" spans="1:21" x14ac:dyDescent="0.2">
      <c r="A874" s="18" t="s">
        <v>2625</v>
      </c>
      <c r="B874" s="19" t="s">
        <v>2625</v>
      </c>
      <c r="C874" s="19" t="s">
        <v>2626</v>
      </c>
      <c r="D874" s="20">
        <v>0.17810220725000001</v>
      </c>
      <c r="E874" s="20">
        <v>3.69712196525</v>
      </c>
      <c r="F874" s="1">
        <v>0</v>
      </c>
      <c r="G874" s="42"/>
      <c r="H874" s="49" t="s">
        <v>187</v>
      </c>
      <c r="J874" s="44"/>
      <c r="K874" s="35">
        <v>0</v>
      </c>
      <c r="L874" s="35">
        <v>0.73470000000000002</v>
      </c>
      <c r="M874" s="35">
        <v>7.5300000000000006E-2</v>
      </c>
      <c r="N874" s="21"/>
      <c r="O874" s="2" t="s">
        <v>187</v>
      </c>
      <c r="Q874" s="22"/>
      <c r="R874" s="2"/>
      <c r="S874" s="2"/>
      <c r="T874" s="2"/>
      <c r="U874" s="34">
        <f t="shared" si="13"/>
        <v>0.73470000000000002</v>
      </c>
    </row>
    <row r="875" spans="1:21" x14ac:dyDescent="0.2">
      <c r="A875" s="18" t="s">
        <v>1686</v>
      </c>
      <c r="B875" s="19" t="s">
        <v>1686</v>
      </c>
      <c r="C875" s="19" t="s">
        <v>2627</v>
      </c>
      <c r="D875" s="20">
        <v>0.170717692</v>
      </c>
      <c r="E875" s="20">
        <v>0.2653327425</v>
      </c>
      <c r="F875" s="1">
        <v>2.5921533861342048</v>
      </c>
      <c r="G875" s="42"/>
      <c r="I875" s="43" t="s">
        <v>187</v>
      </c>
      <c r="J875" s="44"/>
      <c r="K875" s="35">
        <v>0</v>
      </c>
      <c r="L875" s="35">
        <v>0</v>
      </c>
      <c r="M875" s="35">
        <v>0.92569999999999997</v>
      </c>
      <c r="N875" s="21"/>
      <c r="O875" s="2" t="s">
        <v>187</v>
      </c>
      <c r="Q875" s="22"/>
      <c r="R875" s="2"/>
      <c r="S875" s="2"/>
      <c r="T875" s="2"/>
      <c r="U875" s="34">
        <f t="shared" si="13"/>
        <v>0.92569999999999997</v>
      </c>
    </row>
    <row r="876" spans="1:21" x14ac:dyDescent="0.2">
      <c r="A876" s="18" t="s">
        <v>2628</v>
      </c>
      <c r="B876" s="19" t="s">
        <v>2628</v>
      </c>
      <c r="C876" s="19" t="s">
        <v>2629</v>
      </c>
      <c r="D876" s="20">
        <v>2.7139251500000001</v>
      </c>
      <c r="E876" s="20">
        <v>4.3958000000000004</v>
      </c>
      <c r="F876" s="1">
        <v>112.12397323988102</v>
      </c>
      <c r="G876" s="42"/>
      <c r="J876" s="44" t="s">
        <v>187</v>
      </c>
      <c r="K876" s="35">
        <v>1.6199999999999999E-2</v>
      </c>
      <c r="L876" s="35">
        <v>0.1038</v>
      </c>
      <c r="M876" s="35">
        <v>1E-4</v>
      </c>
      <c r="N876" s="21"/>
      <c r="P876" s="2" t="s">
        <v>187</v>
      </c>
      <c r="Q876" s="22"/>
      <c r="R876" s="2"/>
      <c r="S876" s="2"/>
      <c r="T876" s="2"/>
      <c r="U876" s="34">
        <f t="shared" si="13"/>
        <v>0.1038</v>
      </c>
    </row>
    <row r="877" spans="1:21" x14ac:dyDescent="0.2">
      <c r="A877" s="18" t="s">
        <v>2142</v>
      </c>
      <c r="B877" s="19" t="s">
        <v>2142</v>
      </c>
      <c r="C877" s="19" t="s">
        <v>2630</v>
      </c>
      <c r="D877" s="20">
        <v>0.1902009975</v>
      </c>
      <c r="E877" s="20">
        <v>0.44968995874999995</v>
      </c>
      <c r="F877" s="1">
        <v>0.34473651171097852</v>
      </c>
      <c r="G877" s="42"/>
      <c r="I877" s="43" t="s">
        <v>187</v>
      </c>
      <c r="J877" s="44"/>
      <c r="K877" s="35">
        <v>0</v>
      </c>
      <c r="L877" s="35">
        <v>0</v>
      </c>
      <c r="M877" s="35">
        <v>0.9294</v>
      </c>
      <c r="N877" s="21"/>
      <c r="O877" s="2" t="s">
        <v>187</v>
      </c>
      <c r="Q877" s="22"/>
      <c r="R877" s="2"/>
      <c r="S877" s="2"/>
      <c r="T877" s="2"/>
      <c r="U877" s="34">
        <f t="shared" si="13"/>
        <v>0.9294</v>
      </c>
    </row>
    <row r="878" spans="1:21" x14ac:dyDescent="0.2">
      <c r="A878" s="18" t="s">
        <v>1653</v>
      </c>
      <c r="B878" s="19" t="s">
        <v>2631</v>
      </c>
      <c r="C878" s="19" t="s">
        <v>2632</v>
      </c>
      <c r="D878" s="20">
        <v>0.32765505333333333</v>
      </c>
      <c r="E878" s="20">
        <v>0.30130578600000002</v>
      </c>
      <c r="F878" s="1">
        <v>0.50336239389395343</v>
      </c>
      <c r="G878" s="42"/>
      <c r="I878" s="43" t="s">
        <v>187</v>
      </c>
      <c r="J878" s="44"/>
      <c r="K878" s="35">
        <v>0</v>
      </c>
      <c r="L878" s="35">
        <v>0</v>
      </c>
      <c r="M878" s="35">
        <v>0.97050000000000003</v>
      </c>
      <c r="N878" s="21"/>
      <c r="O878" s="2" t="s">
        <v>187</v>
      </c>
      <c r="Q878" s="22"/>
      <c r="R878" s="2"/>
      <c r="S878" s="2"/>
      <c r="T878" s="2"/>
      <c r="U878" s="34">
        <f t="shared" si="13"/>
        <v>0.97050000000000003</v>
      </c>
    </row>
    <row r="879" spans="1:21" x14ac:dyDescent="0.2">
      <c r="A879" s="18" t="s">
        <v>2013</v>
      </c>
      <c r="B879" s="19" t="s">
        <v>2633</v>
      </c>
      <c r="C879" s="19" t="s">
        <v>2634</v>
      </c>
      <c r="D879" s="20">
        <v>0.64502460125000005</v>
      </c>
      <c r="E879" s="20">
        <v>0.685600502</v>
      </c>
      <c r="F879" s="1">
        <v>0.45080928454452002</v>
      </c>
      <c r="G879" s="42"/>
      <c r="I879" s="43" t="s">
        <v>187</v>
      </c>
      <c r="J879" s="44"/>
      <c r="K879" s="35">
        <v>0</v>
      </c>
      <c r="L879" s="35">
        <v>0</v>
      </c>
      <c r="M879" s="35">
        <v>0.88019999999999998</v>
      </c>
      <c r="N879" s="21"/>
      <c r="O879" s="2" t="s">
        <v>187</v>
      </c>
      <c r="Q879" s="22"/>
      <c r="R879" s="2"/>
      <c r="S879" s="2"/>
      <c r="T879" s="2"/>
      <c r="U879" s="34">
        <f t="shared" si="13"/>
        <v>0.88019999999999998</v>
      </c>
    </row>
    <row r="880" spans="1:21" x14ac:dyDescent="0.2">
      <c r="A880" s="18" t="s">
        <v>2321</v>
      </c>
      <c r="B880" s="19" t="s">
        <v>2635</v>
      </c>
      <c r="C880" s="19" t="s">
        <v>2636</v>
      </c>
      <c r="D880" s="20">
        <v>0.49494603674999998</v>
      </c>
      <c r="E880" s="20">
        <v>1.0049187545</v>
      </c>
      <c r="F880" s="1">
        <v>3.5698990830129049</v>
      </c>
      <c r="G880" s="42"/>
      <c r="I880" s="43" t="s">
        <v>187</v>
      </c>
      <c r="J880" s="44"/>
      <c r="K880" s="35">
        <v>0</v>
      </c>
      <c r="L880" s="35">
        <v>1E-4</v>
      </c>
      <c r="M880" s="35">
        <v>0.91569999999999996</v>
      </c>
      <c r="N880" s="21"/>
      <c r="O880" s="2" t="s">
        <v>187</v>
      </c>
      <c r="Q880" s="22"/>
      <c r="R880" s="2"/>
      <c r="S880" s="2"/>
      <c r="T880" s="2"/>
      <c r="U880" s="34">
        <f t="shared" si="13"/>
        <v>0.91569999999999996</v>
      </c>
    </row>
    <row r="881" spans="1:21" x14ac:dyDescent="0.2">
      <c r="A881" s="18" t="s">
        <v>2292</v>
      </c>
      <c r="B881" s="19" t="s">
        <v>2292</v>
      </c>
      <c r="C881" s="19" t="s">
        <v>2637</v>
      </c>
      <c r="D881" s="20">
        <v>0.241995983</v>
      </c>
      <c r="E881" s="20">
        <v>0.28276000000000001</v>
      </c>
      <c r="F881" s="1">
        <v>0</v>
      </c>
      <c r="G881" s="42"/>
      <c r="I881" s="43" t="s">
        <v>187</v>
      </c>
      <c r="J881" s="44"/>
      <c r="K881" s="35">
        <v>0</v>
      </c>
      <c r="L881" s="35">
        <v>0</v>
      </c>
      <c r="M881" s="35">
        <v>0.96489999999999998</v>
      </c>
      <c r="N881" s="21"/>
      <c r="O881" s="2" t="s">
        <v>187</v>
      </c>
      <c r="Q881" s="22"/>
      <c r="R881" s="2"/>
      <c r="S881" s="2"/>
      <c r="T881" s="2"/>
      <c r="U881" s="34">
        <f t="shared" si="13"/>
        <v>0.96489999999999998</v>
      </c>
    </row>
    <row r="882" spans="1:21" x14ac:dyDescent="0.2">
      <c r="A882" s="18" t="s">
        <v>1584</v>
      </c>
      <c r="B882" s="19" t="s">
        <v>1584</v>
      </c>
      <c r="C882" s="19" t="s">
        <v>2638</v>
      </c>
      <c r="D882" s="20">
        <v>0.16447501066666667</v>
      </c>
      <c r="E882" s="20">
        <v>0.1047500525</v>
      </c>
      <c r="F882" s="1">
        <v>0.28639584480176261</v>
      </c>
      <c r="G882" s="42"/>
      <c r="I882" s="43" t="s">
        <v>187</v>
      </c>
      <c r="J882" s="44"/>
      <c r="K882" s="35">
        <v>0</v>
      </c>
      <c r="L882" s="35">
        <v>0</v>
      </c>
      <c r="M882" s="35">
        <v>0.91490000000000005</v>
      </c>
      <c r="N882" s="21"/>
      <c r="O882" s="2" t="s">
        <v>187</v>
      </c>
      <c r="Q882" s="22"/>
      <c r="R882" s="2"/>
      <c r="S882" s="2"/>
      <c r="T882" s="2"/>
      <c r="U882" s="34">
        <f t="shared" si="13"/>
        <v>0.91490000000000005</v>
      </c>
    </row>
    <row r="883" spans="1:21" x14ac:dyDescent="0.2">
      <c r="A883" s="18" t="s">
        <v>2639</v>
      </c>
      <c r="B883" s="19" t="s">
        <v>2639</v>
      </c>
      <c r="C883" s="19" t="s">
        <v>2640</v>
      </c>
      <c r="D883" s="20">
        <v>0.20041196866666669</v>
      </c>
      <c r="E883" s="20">
        <v>0.26940224150000003</v>
      </c>
      <c r="F883" s="1">
        <v>0</v>
      </c>
      <c r="G883" s="42"/>
      <c r="I883" s="43" t="s">
        <v>187</v>
      </c>
      <c r="J883" s="44"/>
      <c r="K883" s="35">
        <v>0</v>
      </c>
      <c r="L883" s="35">
        <v>0</v>
      </c>
      <c r="M883" s="35">
        <v>0.95109999999999995</v>
      </c>
      <c r="N883" s="21"/>
      <c r="O883" s="2" t="s">
        <v>187</v>
      </c>
      <c r="Q883" s="22"/>
      <c r="R883" s="2"/>
      <c r="S883" s="2"/>
      <c r="T883" s="2"/>
      <c r="U883" s="34">
        <f t="shared" si="13"/>
        <v>0.95109999999999995</v>
      </c>
    </row>
    <row r="884" spans="1:21" x14ac:dyDescent="0.2">
      <c r="A884" s="18" t="s">
        <v>2641</v>
      </c>
      <c r="B884" s="19" t="s">
        <v>2641</v>
      </c>
      <c r="C884" s="19" t="s">
        <v>2642</v>
      </c>
      <c r="D884" s="20">
        <v>2.2149083853333331</v>
      </c>
      <c r="E884" s="20">
        <v>3.1598000000000002</v>
      </c>
      <c r="F884" s="1">
        <v>39.370677516899278</v>
      </c>
      <c r="G884" s="42"/>
      <c r="J884" s="44" t="s">
        <v>187</v>
      </c>
      <c r="K884" s="35">
        <v>4.0000000000000002E-4</v>
      </c>
      <c r="L884" s="35">
        <v>3.1800000000000002E-2</v>
      </c>
      <c r="M884" s="35">
        <v>6.9999999999999999E-4</v>
      </c>
      <c r="N884" s="21"/>
      <c r="Q884" s="22"/>
      <c r="R884" s="2"/>
      <c r="S884" s="2"/>
      <c r="T884" s="2"/>
      <c r="U884" s="34">
        <f t="shared" si="13"/>
        <v>3.1800000000000002E-2</v>
      </c>
    </row>
    <row r="885" spans="1:21" x14ac:dyDescent="0.2">
      <c r="A885" s="18" t="s">
        <v>2643</v>
      </c>
      <c r="B885" s="19" t="s">
        <v>2643</v>
      </c>
      <c r="C885" s="19" t="s">
        <v>637</v>
      </c>
      <c r="D885" s="20">
        <v>16.572357642499998</v>
      </c>
      <c r="E885" s="20">
        <v>0.251145858</v>
      </c>
      <c r="F885" s="1">
        <v>0</v>
      </c>
      <c r="G885" s="42"/>
      <c r="J885" s="44" t="s">
        <v>187</v>
      </c>
      <c r="K885" s="35">
        <v>0</v>
      </c>
      <c r="L885" s="35">
        <v>0</v>
      </c>
      <c r="M885" s="35">
        <v>0</v>
      </c>
      <c r="N885" s="21"/>
      <c r="Q885" s="22"/>
      <c r="R885" s="2"/>
      <c r="S885" s="2"/>
      <c r="T885" s="2"/>
      <c r="U885" s="34">
        <f t="shared" si="13"/>
        <v>0</v>
      </c>
    </row>
    <row r="886" spans="1:21" x14ac:dyDescent="0.2">
      <c r="A886" s="18" t="s">
        <v>2325</v>
      </c>
      <c r="B886" s="19" t="s">
        <v>2325</v>
      </c>
      <c r="C886" s="19" t="s">
        <v>2644</v>
      </c>
      <c r="D886" s="20">
        <v>0.27068175475</v>
      </c>
      <c r="E886" s="20">
        <v>2.2731365505000003</v>
      </c>
      <c r="F886" s="1">
        <v>0.41946866157840185</v>
      </c>
      <c r="G886" s="42"/>
      <c r="I886" s="43" t="s">
        <v>187</v>
      </c>
      <c r="J886" s="44"/>
      <c r="K886" s="35">
        <v>0</v>
      </c>
      <c r="L886" s="35">
        <v>0.1794</v>
      </c>
      <c r="M886" s="35">
        <v>0.64359999999999995</v>
      </c>
      <c r="N886" s="21"/>
      <c r="O886" s="2" t="s">
        <v>187</v>
      </c>
      <c r="Q886" s="22"/>
      <c r="R886" s="2"/>
      <c r="S886" s="2"/>
      <c r="T886" s="2"/>
      <c r="U886" s="34">
        <f t="shared" si="13"/>
        <v>0.64359999999999995</v>
      </c>
    </row>
    <row r="887" spans="1:21" x14ac:dyDescent="0.2">
      <c r="A887" s="18" t="s">
        <v>1807</v>
      </c>
      <c r="B887" s="19" t="s">
        <v>1807</v>
      </c>
      <c r="C887" s="19" t="s">
        <v>2645</v>
      </c>
      <c r="D887" s="20">
        <v>0.207959853</v>
      </c>
      <c r="E887" s="20">
        <v>8.9080000000000006E-2</v>
      </c>
      <c r="F887" s="1" t="s">
        <v>47</v>
      </c>
      <c r="G887" s="42"/>
      <c r="I887" s="43" t="s">
        <v>187</v>
      </c>
      <c r="J887" s="44"/>
      <c r="K887" s="35">
        <v>0</v>
      </c>
      <c r="L887" s="35">
        <v>0</v>
      </c>
      <c r="M887" s="35">
        <v>0.94579999999999997</v>
      </c>
      <c r="N887" s="21"/>
      <c r="O887" s="2" t="s">
        <v>187</v>
      </c>
      <c r="Q887" s="22"/>
      <c r="R887" s="2"/>
      <c r="S887" s="2"/>
      <c r="T887" s="2"/>
      <c r="U887" s="34">
        <f t="shared" si="13"/>
        <v>0.94579999999999997</v>
      </c>
    </row>
    <row r="888" spans="1:21" x14ac:dyDescent="0.2">
      <c r="A888" s="18" t="s">
        <v>2646</v>
      </c>
      <c r="B888" s="19" t="s">
        <v>2646</v>
      </c>
      <c r="C888" s="19" t="s">
        <v>2647</v>
      </c>
      <c r="D888" s="20">
        <v>1.6159864465</v>
      </c>
      <c r="E888" s="20">
        <v>6.0992025247499999</v>
      </c>
      <c r="F888" s="1">
        <v>0.20507356788272244</v>
      </c>
      <c r="G888" s="42"/>
      <c r="H888" s="49" t="s">
        <v>187</v>
      </c>
      <c r="J888" s="44"/>
      <c r="K888" s="35">
        <v>4.5999999999999999E-3</v>
      </c>
      <c r="L888" s="35">
        <v>0.79730000000000001</v>
      </c>
      <c r="M888" s="35">
        <v>6.9999999999999999E-4</v>
      </c>
      <c r="N888" s="21"/>
      <c r="O888" s="2" t="s">
        <v>187</v>
      </c>
      <c r="Q888" s="22"/>
      <c r="R888" s="2"/>
      <c r="S888" s="2"/>
      <c r="T888" s="2"/>
      <c r="U888" s="34">
        <f t="shared" si="13"/>
        <v>0.79730000000000001</v>
      </c>
    </row>
    <row r="889" spans="1:21" x14ac:dyDescent="0.2">
      <c r="A889" s="18" t="s">
        <v>2648</v>
      </c>
      <c r="B889" s="19" t="s">
        <v>2648</v>
      </c>
      <c r="C889" s="19" t="s">
        <v>2649</v>
      </c>
      <c r="D889" s="20">
        <v>1.8603803030000001</v>
      </c>
      <c r="E889" s="20">
        <v>0.17685239474999997</v>
      </c>
      <c r="F889" s="1">
        <v>0.30280394007731187</v>
      </c>
      <c r="G889" s="42"/>
      <c r="J889" s="44" t="s">
        <v>187</v>
      </c>
      <c r="K889" s="35">
        <v>0</v>
      </c>
      <c r="L889" s="35">
        <v>0</v>
      </c>
      <c r="M889" s="35">
        <v>6.7000000000000002E-3</v>
      </c>
      <c r="N889" s="21"/>
      <c r="Q889" s="22"/>
      <c r="R889" s="2"/>
      <c r="S889" s="2"/>
      <c r="T889" s="2"/>
      <c r="U889" s="34">
        <f t="shared" si="13"/>
        <v>6.7000000000000002E-3</v>
      </c>
    </row>
    <row r="890" spans="1:21" x14ac:dyDescent="0.2">
      <c r="A890" s="18" t="s">
        <v>1783</v>
      </c>
      <c r="B890" s="19" t="s">
        <v>1783</v>
      </c>
      <c r="C890" s="19" t="s">
        <v>2650</v>
      </c>
      <c r="D890" s="20">
        <v>0.30100471633333331</v>
      </c>
      <c r="E890" s="20">
        <v>0.80228564525000001</v>
      </c>
      <c r="F890" s="1">
        <v>0.22326557793686067</v>
      </c>
      <c r="G890" s="42"/>
      <c r="I890" s="43" t="s">
        <v>187</v>
      </c>
      <c r="J890" s="44"/>
      <c r="K890" s="35">
        <v>0</v>
      </c>
      <c r="L890" s="35">
        <v>0</v>
      </c>
      <c r="M890" s="35">
        <v>0.94769999999999999</v>
      </c>
      <c r="N890" s="21"/>
      <c r="O890" s="2" t="s">
        <v>187</v>
      </c>
      <c r="Q890" s="22"/>
      <c r="R890" s="2"/>
      <c r="S890" s="2"/>
      <c r="T890" s="2"/>
      <c r="U890" s="34">
        <f t="shared" si="13"/>
        <v>0.94769999999999999</v>
      </c>
    </row>
    <row r="891" spans="1:21" x14ac:dyDescent="0.2">
      <c r="A891" s="18" t="s">
        <v>2651</v>
      </c>
      <c r="B891" s="19" t="s">
        <v>2651</v>
      </c>
      <c r="C891" s="19" t="s">
        <v>2652</v>
      </c>
      <c r="D891" s="20">
        <v>5.388103499333333</v>
      </c>
      <c r="E891" s="20">
        <v>5.1901171059999998</v>
      </c>
      <c r="F891" s="1">
        <v>0</v>
      </c>
      <c r="G891" s="42"/>
      <c r="J891" s="44" t="s">
        <v>187</v>
      </c>
      <c r="K891" s="35">
        <v>0.25929999999999997</v>
      </c>
      <c r="L891" s="35">
        <v>7.7000000000000002E-3</v>
      </c>
      <c r="M891" s="35">
        <v>0</v>
      </c>
      <c r="N891" s="21"/>
      <c r="Q891" s="22"/>
      <c r="R891" s="2"/>
      <c r="S891" s="2"/>
      <c r="T891" s="2"/>
      <c r="U891" s="34">
        <f t="shared" si="13"/>
        <v>0.25929999999999997</v>
      </c>
    </row>
    <row r="892" spans="1:21" x14ac:dyDescent="0.2">
      <c r="A892" s="18" t="s">
        <v>2256</v>
      </c>
      <c r="B892" s="19" t="s">
        <v>2256</v>
      </c>
      <c r="C892" s="19" t="s">
        <v>2653</v>
      </c>
      <c r="D892" s="20">
        <v>0.32953329125000003</v>
      </c>
      <c r="E892" s="20">
        <v>0.14366435800000002</v>
      </c>
      <c r="F892" s="1">
        <v>0.42129243836838925</v>
      </c>
      <c r="G892" s="42"/>
      <c r="I892" s="43" t="s">
        <v>187</v>
      </c>
      <c r="J892" s="44"/>
      <c r="K892" s="35">
        <v>0</v>
      </c>
      <c r="L892" s="35">
        <v>0</v>
      </c>
      <c r="M892" s="35">
        <v>0.96799999999999997</v>
      </c>
      <c r="N892" s="21" t="s">
        <v>187</v>
      </c>
      <c r="Q892" s="22"/>
      <c r="R892" s="2"/>
      <c r="S892" s="2"/>
      <c r="T892" s="2"/>
      <c r="U892" s="34">
        <f t="shared" si="13"/>
        <v>0.96799999999999997</v>
      </c>
    </row>
    <row r="893" spans="1:21" x14ac:dyDescent="0.2">
      <c r="A893" s="18" t="s">
        <v>1699</v>
      </c>
      <c r="B893" s="19" t="s">
        <v>2654</v>
      </c>
      <c r="C893" s="19" t="s">
        <v>2655</v>
      </c>
      <c r="D893" s="20">
        <v>0.23100000000000001</v>
      </c>
      <c r="E893" s="20">
        <v>0.29239999999999999</v>
      </c>
      <c r="F893" s="1">
        <v>0</v>
      </c>
      <c r="G893" s="42"/>
      <c r="I893" s="43" t="s">
        <v>187</v>
      </c>
      <c r="J893" s="44"/>
      <c r="K893" s="35">
        <v>0</v>
      </c>
      <c r="L893" s="35">
        <v>0</v>
      </c>
      <c r="M893" s="35">
        <v>0.96209999999999996</v>
      </c>
      <c r="N893" s="21"/>
      <c r="O893" s="2" t="s">
        <v>187</v>
      </c>
      <c r="Q893" s="22"/>
      <c r="R893" s="2"/>
      <c r="S893" s="2"/>
      <c r="T893" s="2"/>
      <c r="U893" s="34">
        <f t="shared" si="13"/>
        <v>0.96209999999999996</v>
      </c>
    </row>
    <row r="894" spans="1:21" x14ac:dyDescent="0.2">
      <c r="A894" s="18" t="s">
        <v>2656</v>
      </c>
      <c r="B894" s="19" t="s">
        <v>2656</v>
      </c>
      <c r="C894" s="19" t="s">
        <v>2657</v>
      </c>
      <c r="D894" s="20">
        <v>0.21337989799999998</v>
      </c>
      <c r="E894" s="20">
        <v>7.1114800716666666</v>
      </c>
      <c r="F894" s="1">
        <v>0</v>
      </c>
      <c r="G894" s="42"/>
      <c r="H894" s="43" t="s">
        <v>187</v>
      </c>
      <c r="J894" s="44"/>
      <c r="K894" s="35">
        <v>0</v>
      </c>
      <c r="L894" s="35">
        <v>0.8841</v>
      </c>
      <c r="M894" s="35">
        <v>1.4E-2</v>
      </c>
      <c r="N894" s="21"/>
      <c r="O894" s="2" t="s">
        <v>187</v>
      </c>
      <c r="Q894" s="22"/>
      <c r="R894" s="2"/>
      <c r="S894" s="2"/>
      <c r="T894" s="2"/>
      <c r="U894" s="34">
        <f t="shared" si="13"/>
        <v>0.8841</v>
      </c>
    </row>
    <row r="895" spans="1:21" x14ac:dyDescent="0.2">
      <c r="A895" s="18" t="s">
        <v>2658</v>
      </c>
      <c r="B895" s="19" t="s">
        <v>2659</v>
      </c>
      <c r="C895" s="19" t="s">
        <v>2660</v>
      </c>
      <c r="D895" s="20">
        <v>0.28519705499999998</v>
      </c>
      <c r="E895" s="20">
        <v>0.21598000000000001</v>
      </c>
      <c r="F895" s="1">
        <v>2.7048557072688206</v>
      </c>
      <c r="G895" s="42"/>
      <c r="I895" s="43" t="s">
        <v>187</v>
      </c>
      <c r="J895" s="44"/>
      <c r="K895" s="35">
        <v>0</v>
      </c>
      <c r="L895" s="35">
        <v>0</v>
      </c>
      <c r="M895" s="35">
        <v>0.97060000000000002</v>
      </c>
      <c r="N895" s="21"/>
      <c r="O895" s="2" t="s">
        <v>187</v>
      </c>
      <c r="Q895" s="22"/>
      <c r="R895" s="2"/>
      <c r="S895" s="2"/>
      <c r="T895" s="2"/>
      <c r="U895" s="34">
        <f t="shared" si="13"/>
        <v>0.97060000000000002</v>
      </c>
    </row>
    <row r="896" spans="1:21" x14ac:dyDescent="0.2">
      <c r="A896" s="18" t="s">
        <v>2221</v>
      </c>
      <c r="B896" s="19" t="s">
        <v>2661</v>
      </c>
      <c r="C896" s="19" t="s">
        <v>2662</v>
      </c>
      <c r="D896" s="20">
        <v>0.39679999999999999</v>
      </c>
      <c r="E896" s="20">
        <v>0.23342733233333335</v>
      </c>
      <c r="F896" s="1">
        <v>2.2540464227240724</v>
      </c>
      <c r="G896" s="42"/>
      <c r="I896" s="43" t="s">
        <v>187</v>
      </c>
      <c r="J896" s="44"/>
      <c r="K896" s="35">
        <v>0</v>
      </c>
      <c r="L896" s="35">
        <v>0</v>
      </c>
      <c r="M896" s="35">
        <v>0.96689999999999998</v>
      </c>
      <c r="N896" s="21" t="s">
        <v>187</v>
      </c>
      <c r="Q896" s="22"/>
      <c r="R896" s="2"/>
      <c r="S896" s="2"/>
      <c r="T896" s="2"/>
      <c r="U896" s="34">
        <f t="shared" si="13"/>
        <v>0.96689999999999998</v>
      </c>
    </row>
    <row r="897" spans="1:21" x14ac:dyDescent="0.2">
      <c r="A897" s="18" t="s">
        <v>2663</v>
      </c>
      <c r="B897" s="19" t="s">
        <v>2664</v>
      </c>
      <c r="C897" s="19" t="s">
        <v>2665</v>
      </c>
      <c r="D897" s="20">
        <v>15.351944402000001</v>
      </c>
      <c r="E897" s="20">
        <v>11.8141345935</v>
      </c>
      <c r="F897" s="1">
        <v>6.7524223571196307E-2</v>
      </c>
      <c r="G897" s="42" t="s">
        <v>187</v>
      </c>
      <c r="J897" s="44"/>
      <c r="K897" s="35">
        <v>0.96860000000000002</v>
      </c>
      <c r="L897" s="35">
        <v>1E-4</v>
      </c>
      <c r="M897" s="35">
        <v>0</v>
      </c>
      <c r="N897" s="21"/>
      <c r="Q897" s="22" t="s">
        <v>187</v>
      </c>
      <c r="R897" s="2"/>
      <c r="S897" s="2"/>
      <c r="T897" s="2"/>
      <c r="U897" s="34">
        <f t="shared" si="13"/>
        <v>0.96860000000000002</v>
      </c>
    </row>
    <row r="898" spans="1:21" x14ac:dyDescent="0.2">
      <c r="A898" s="18" t="s">
        <v>1328</v>
      </c>
      <c r="B898" s="19" t="s">
        <v>1328</v>
      </c>
      <c r="C898" s="19" t="s">
        <v>2666</v>
      </c>
      <c r="D898" s="20">
        <v>0.1185296175</v>
      </c>
      <c r="E898" s="20">
        <v>7.3272933999999998E-2</v>
      </c>
      <c r="F898" s="1">
        <v>0</v>
      </c>
      <c r="G898" s="42"/>
      <c r="I898" s="43" t="s">
        <v>187</v>
      </c>
      <c r="J898" s="44"/>
      <c r="K898" s="35">
        <v>0</v>
      </c>
      <c r="L898" s="35">
        <v>0</v>
      </c>
      <c r="M898" s="35">
        <v>0.71970000000000001</v>
      </c>
      <c r="N898" s="21"/>
      <c r="O898" s="2" t="s">
        <v>187</v>
      </c>
      <c r="Q898" s="22"/>
      <c r="R898" s="2"/>
      <c r="S898" s="2"/>
      <c r="T898" s="2"/>
      <c r="U898" s="34">
        <f t="shared" ref="U898:U961" si="14">MAX(K898:M898)</f>
        <v>0.71970000000000001</v>
      </c>
    </row>
    <row r="899" spans="1:21" x14ac:dyDescent="0.2">
      <c r="A899" s="18" t="s">
        <v>2667</v>
      </c>
      <c r="B899" s="19" t="s">
        <v>2667</v>
      </c>
      <c r="C899" s="19" t="s">
        <v>2668</v>
      </c>
      <c r="D899" s="20">
        <v>2.4621084714999997</v>
      </c>
      <c r="E899" s="20">
        <v>23.11443959</v>
      </c>
      <c r="F899" s="1" t="s">
        <v>47</v>
      </c>
      <c r="G899" s="42"/>
      <c r="H899" s="49" t="s">
        <v>187</v>
      </c>
      <c r="J899" s="44"/>
      <c r="K899" s="35">
        <v>8.8499999999999995E-2</v>
      </c>
      <c r="L899" s="35">
        <v>0.86729999999999996</v>
      </c>
      <c r="M899" s="35">
        <v>0</v>
      </c>
      <c r="N899" s="21"/>
      <c r="O899" s="2" t="s">
        <v>187</v>
      </c>
      <c r="Q899" s="22"/>
      <c r="R899" s="2"/>
      <c r="S899" s="2"/>
      <c r="T899" s="2"/>
      <c r="U899" s="34">
        <f t="shared" si="14"/>
        <v>0.86729999999999996</v>
      </c>
    </row>
    <row r="900" spans="1:21" x14ac:dyDescent="0.2">
      <c r="A900" s="18" t="s">
        <v>2669</v>
      </c>
      <c r="B900" s="19" t="s">
        <v>2669</v>
      </c>
      <c r="C900" s="19" t="s">
        <v>2670</v>
      </c>
      <c r="D900" s="20">
        <v>4.9486785724999995</v>
      </c>
      <c r="E900" s="20">
        <v>10.169301833333334</v>
      </c>
      <c r="F900" s="1">
        <v>0.45080928454493835</v>
      </c>
      <c r="G900" s="42" t="s">
        <v>187</v>
      </c>
      <c r="J900" s="44"/>
      <c r="K900" s="35">
        <v>0.89080000000000004</v>
      </c>
      <c r="L900" s="35">
        <v>4.2500000000000003E-2</v>
      </c>
      <c r="M900" s="35">
        <v>0</v>
      </c>
      <c r="N900" s="21"/>
      <c r="Q900" s="22" t="s">
        <v>187</v>
      </c>
      <c r="R900" s="2"/>
      <c r="S900" s="2"/>
      <c r="T900" s="2"/>
      <c r="U900" s="34">
        <f t="shared" si="14"/>
        <v>0.89080000000000004</v>
      </c>
    </row>
    <row r="901" spans="1:21" x14ac:dyDescent="0.2">
      <c r="A901" s="18" t="s">
        <v>2320</v>
      </c>
      <c r="B901" s="19" t="s">
        <v>2320</v>
      </c>
      <c r="C901" s="19" t="s">
        <v>2671</v>
      </c>
      <c r="D901" s="20">
        <v>0.32314342400000001</v>
      </c>
      <c r="E901" s="20">
        <v>1.3682065007500002</v>
      </c>
      <c r="F901" s="1">
        <v>0.14667513464462059</v>
      </c>
      <c r="G901" s="42"/>
      <c r="I901" s="43" t="s">
        <v>187</v>
      </c>
      <c r="J901" s="44"/>
      <c r="K901" s="35">
        <v>0</v>
      </c>
      <c r="L901" s="35">
        <v>4.3E-3</v>
      </c>
      <c r="M901" s="35">
        <v>0.90539999999999998</v>
      </c>
      <c r="N901" s="21" t="s">
        <v>187</v>
      </c>
      <c r="Q901" s="22"/>
      <c r="R901" s="2"/>
      <c r="S901" s="2"/>
      <c r="T901" s="2"/>
      <c r="U901" s="34">
        <f t="shared" si="14"/>
        <v>0.90539999999999998</v>
      </c>
    </row>
    <row r="902" spans="1:21" x14ac:dyDescent="0.2">
      <c r="A902" s="18" t="s">
        <v>2672</v>
      </c>
      <c r="B902" s="19" t="s">
        <v>2672</v>
      </c>
      <c r="C902" s="19" t="s">
        <v>637</v>
      </c>
      <c r="D902" s="20">
        <v>5.5563305982499998</v>
      </c>
      <c r="E902" s="20">
        <v>12.518619216499999</v>
      </c>
      <c r="F902" s="1">
        <v>0.24427880880156627</v>
      </c>
      <c r="G902" s="42" t="s">
        <v>187</v>
      </c>
      <c r="J902" s="44"/>
      <c r="K902" s="35">
        <v>0.93989999999999996</v>
      </c>
      <c r="L902" s="35">
        <v>2.7799999999999998E-2</v>
      </c>
      <c r="M902" s="35">
        <v>0</v>
      </c>
      <c r="N902" s="21"/>
      <c r="Q902" s="22" t="s">
        <v>187</v>
      </c>
      <c r="R902" s="2"/>
      <c r="S902" s="2"/>
      <c r="T902" s="2"/>
      <c r="U902" s="34">
        <f t="shared" si="14"/>
        <v>0.93989999999999996</v>
      </c>
    </row>
    <row r="903" spans="1:21" x14ac:dyDescent="0.2">
      <c r="A903" s="18" t="s">
        <v>2673</v>
      </c>
      <c r="B903" s="19" t="s">
        <v>2673</v>
      </c>
      <c r="C903" s="19" t="s">
        <v>2674</v>
      </c>
      <c r="D903" s="20">
        <v>2.7792152867500004</v>
      </c>
      <c r="E903" s="20">
        <v>10.949371528</v>
      </c>
      <c r="F903" s="1">
        <v>0</v>
      </c>
      <c r="G903" s="24" t="s">
        <v>187</v>
      </c>
      <c r="J903" s="44"/>
      <c r="K903" s="35">
        <v>0.3009</v>
      </c>
      <c r="L903" s="35">
        <v>0.60509999999999997</v>
      </c>
      <c r="M903" s="35">
        <v>0</v>
      </c>
      <c r="N903" s="21"/>
      <c r="Q903" s="22" t="s">
        <v>187</v>
      </c>
      <c r="R903" s="2"/>
      <c r="S903" s="2"/>
      <c r="T903" s="2"/>
      <c r="U903" s="34">
        <f t="shared" si="14"/>
        <v>0.60509999999999997</v>
      </c>
    </row>
    <row r="904" spans="1:21" x14ac:dyDescent="0.2">
      <c r="A904" s="18" t="s">
        <v>2675</v>
      </c>
      <c r="B904" s="19" t="s">
        <v>2675</v>
      </c>
      <c r="C904" s="19" t="s">
        <v>2676</v>
      </c>
      <c r="D904" s="20">
        <v>4.7691082622500005</v>
      </c>
      <c r="E904" s="20">
        <v>4.7497000000000007</v>
      </c>
      <c r="F904" s="1">
        <v>42.891283358087492</v>
      </c>
      <c r="G904" s="42"/>
      <c r="J904" s="44" t="s">
        <v>187</v>
      </c>
      <c r="K904" s="35">
        <v>0.1242</v>
      </c>
      <c r="L904" s="35">
        <v>9.7999999999999997E-3</v>
      </c>
      <c r="M904" s="35">
        <v>0</v>
      </c>
      <c r="N904" s="21"/>
      <c r="Q904" s="22"/>
      <c r="R904" s="2"/>
      <c r="S904" s="2"/>
      <c r="T904" s="2"/>
      <c r="U904" s="34">
        <f t="shared" si="14"/>
        <v>0.1242</v>
      </c>
    </row>
    <row r="905" spans="1:21" x14ac:dyDescent="0.2">
      <c r="A905" s="18" t="s">
        <v>2677</v>
      </c>
      <c r="B905" s="19" t="s">
        <v>2677</v>
      </c>
      <c r="C905" s="19" t="s">
        <v>2678</v>
      </c>
      <c r="D905" s="20">
        <v>2.7454841407499999</v>
      </c>
      <c r="E905" s="20">
        <v>5.7320908029999993</v>
      </c>
      <c r="F905" s="1">
        <v>1.6075121611450578</v>
      </c>
      <c r="G905" s="42"/>
      <c r="J905" s="44" t="s">
        <v>187</v>
      </c>
      <c r="K905" s="35">
        <v>8.8900000000000007E-2</v>
      </c>
      <c r="L905" s="35">
        <v>0.30880000000000002</v>
      </c>
      <c r="M905" s="35">
        <v>0</v>
      </c>
      <c r="N905" s="21" t="s">
        <v>187</v>
      </c>
      <c r="Q905" s="22"/>
      <c r="R905" s="2"/>
      <c r="S905" s="2"/>
      <c r="T905" s="2"/>
      <c r="U905" s="34">
        <f t="shared" si="14"/>
        <v>0.30880000000000002</v>
      </c>
    </row>
    <row r="906" spans="1:21" x14ac:dyDescent="0.2">
      <c r="A906" s="18" t="s">
        <v>2679</v>
      </c>
      <c r="B906" s="19" t="s">
        <v>2680</v>
      </c>
      <c r="C906" s="19" t="s">
        <v>2681</v>
      </c>
      <c r="D906" s="20">
        <v>4.1862701695000002</v>
      </c>
      <c r="E906" s="20">
        <v>25.507782649999999</v>
      </c>
      <c r="F906" s="1">
        <v>0.29805723530785061</v>
      </c>
      <c r="G906" s="42" t="s">
        <v>187</v>
      </c>
      <c r="J906" s="44"/>
      <c r="K906" s="35">
        <v>0.55940000000000001</v>
      </c>
      <c r="L906" s="35">
        <v>0.39129999999999998</v>
      </c>
      <c r="M906" s="35">
        <v>0</v>
      </c>
      <c r="N906" s="21"/>
      <c r="Q906" s="22" t="s">
        <v>187</v>
      </c>
      <c r="R906" s="2"/>
      <c r="S906" s="2"/>
      <c r="T906" s="2"/>
      <c r="U906" s="34">
        <f t="shared" si="14"/>
        <v>0.55940000000000001</v>
      </c>
    </row>
    <row r="907" spans="1:21" x14ac:dyDescent="0.2">
      <c r="A907" s="18" t="s">
        <v>2682</v>
      </c>
      <c r="B907" s="19" t="s">
        <v>2682</v>
      </c>
      <c r="C907" s="19" t="s">
        <v>2683</v>
      </c>
      <c r="D907" s="20">
        <v>8.395028291500001</v>
      </c>
      <c r="E907" s="20">
        <v>3.1700167280000002</v>
      </c>
      <c r="F907" s="1">
        <v>0.36913242218938147</v>
      </c>
      <c r="G907" s="42"/>
      <c r="J907" s="44" t="s">
        <v>187</v>
      </c>
      <c r="K907" s="35">
        <v>3.8999999999999998E-3</v>
      </c>
      <c r="L907" s="35">
        <v>0</v>
      </c>
      <c r="M907" s="35">
        <v>0</v>
      </c>
      <c r="N907" s="21"/>
      <c r="Q907" s="22"/>
      <c r="R907" s="2"/>
      <c r="S907" s="2"/>
      <c r="T907" s="2"/>
      <c r="U907" s="34">
        <f t="shared" si="14"/>
        <v>3.8999999999999998E-3</v>
      </c>
    </row>
    <row r="908" spans="1:21" x14ac:dyDescent="0.2">
      <c r="A908" s="18" t="s">
        <v>2129</v>
      </c>
      <c r="B908" s="19" t="s">
        <v>2684</v>
      </c>
      <c r="C908" s="19" t="s">
        <v>2685</v>
      </c>
      <c r="D908" s="20">
        <v>0.17618532549999999</v>
      </c>
      <c r="E908" s="20">
        <v>0.11516772374999999</v>
      </c>
      <c r="F908" s="1">
        <v>0.25770548091653206</v>
      </c>
      <c r="G908" s="42"/>
      <c r="I908" s="43" t="s">
        <v>187</v>
      </c>
      <c r="J908" s="44"/>
      <c r="K908" s="35">
        <v>0</v>
      </c>
      <c r="L908" s="35">
        <v>0</v>
      </c>
      <c r="M908" s="35">
        <v>0.93140000000000001</v>
      </c>
      <c r="N908" s="21"/>
      <c r="O908" s="2" t="s">
        <v>187</v>
      </c>
      <c r="Q908" s="22"/>
      <c r="R908" s="2"/>
      <c r="S908" s="2"/>
      <c r="T908" s="2"/>
      <c r="U908" s="34">
        <f t="shared" si="14"/>
        <v>0.93140000000000001</v>
      </c>
    </row>
    <row r="909" spans="1:21" x14ac:dyDescent="0.2">
      <c r="A909" s="18" t="s">
        <v>2686</v>
      </c>
      <c r="B909" s="19" t="s">
        <v>2686</v>
      </c>
      <c r="C909" s="19" t="s">
        <v>2687</v>
      </c>
      <c r="D909" s="20">
        <v>2.5280712797499998</v>
      </c>
      <c r="E909" s="20">
        <v>4.3943551843333326</v>
      </c>
      <c r="F909" s="1">
        <v>7.4705538581678326</v>
      </c>
      <c r="G909" s="42"/>
      <c r="J909" s="44" t="s">
        <v>187</v>
      </c>
      <c r="K909" s="35">
        <v>1.23E-2</v>
      </c>
      <c r="L909" s="35">
        <v>0.13689999999999999</v>
      </c>
      <c r="M909" s="35">
        <v>1E-4</v>
      </c>
      <c r="N909" s="21"/>
      <c r="Q909" s="22"/>
      <c r="R909" s="2"/>
      <c r="S909" s="2"/>
      <c r="T909" s="2"/>
      <c r="U909" s="34">
        <f t="shared" si="14"/>
        <v>0.13689999999999999</v>
      </c>
    </row>
    <row r="910" spans="1:21" x14ac:dyDescent="0.2">
      <c r="A910" s="18" t="s">
        <v>2688</v>
      </c>
      <c r="B910" s="19" t="s">
        <v>2688</v>
      </c>
      <c r="C910" s="19" t="s">
        <v>2689</v>
      </c>
      <c r="D910" s="20">
        <v>6.9491080430000007</v>
      </c>
      <c r="E910" s="20" t="s">
        <v>180</v>
      </c>
      <c r="F910" s="1">
        <v>41.925263462702304</v>
      </c>
      <c r="G910" s="42" t="s">
        <v>187</v>
      </c>
      <c r="J910" s="44"/>
      <c r="K910" s="35" t="e">
        <v>#N/A</v>
      </c>
      <c r="L910" s="35" t="e">
        <v>#N/A</v>
      </c>
      <c r="M910" s="35" t="e">
        <v>#N/A</v>
      </c>
      <c r="N910" s="21"/>
      <c r="Q910" s="22" t="s">
        <v>187</v>
      </c>
      <c r="R910" s="2"/>
      <c r="S910" s="2"/>
      <c r="T910" s="2"/>
      <c r="U910" s="34" t="e">
        <f t="shared" si="14"/>
        <v>#N/A</v>
      </c>
    </row>
    <row r="911" spans="1:21" x14ac:dyDescent="0.2">
      <c r="A911" s="18" t="s">
        <v>2690</v>
      </c>
      <c r="B911" s="19" t="s">
        <v>2691</v>
      </c>
      <c r="C911" s="19" t="s">
        <v>2692</v>
      </c>
      <c r="D911" s="20">
        <v>0.27537066199999999</v>
      </c>
      <c r="E911" s="20">
        <v>0.51551000000000002</v>
      </c>
      <c r="F911" s="1">
        <v>0</v>
      </c>
      <c r="G911" s="42"/>
      <c r="I911" s="43" t="s">
        <v>187</v>
      </c>
      <c r="J911" s="44"/>
      <c r="K911" s="35">
        <v>0</v>
      </c>
      <c r="L911" s="35">
        <v>0</v>
      </c>
      <c r="M911" s="35">
        <v>0.96060000000000001</v>
      </c>
      <c r="N911" s="21"/>
      <c r="O911" s="2" t="s">
        <v>187</v>
      </c>
      <c r="Q911" s="22"/>
      <c r="R911" s="2"/>
      <c r="S911" s="2"/>
      <c r="T911" s="2"/>
      <c r="U911" s="34">
        <f t="shared" si="14"/>
        <v>0.96060000000000001</v>
      </c>
    </row>
    <row r="912" spans="1:21" x14ac:dyDescent="0.2">
      <c r="A912" s="18" t="s">
        <v>1569</v>
      </c>
      <c r="B912" s="19" t="s">
        <v>1569</v>
      </c>
      <c r="C912" s="19" t="s">
        <v>2693</v>
      </c>
      <c r="D912" s="20">
        <v>0.21152215199999999</v>
      </c>
      <c r="E912" s="20">
        <v>0.153838903</v>
      </c>
      <c r="F912" s="1">
        <v>0.20763698748130924</v>
      </c>
      <c r="G912" s="42"/>
      <c r="I912" s="43" t="s">
        <v>187</v>
      </c>
      <c r="J912" s="44"/>
      <c r="K912" s="35">
        <v>0</v>
      </c>
      <c r="L912" s="35">
        <v>0</v>
      </c>
      <c r="M912" s="35">
        <v>0.95730000000000004</v>
      </c>
      <c r="N912" s="21"/>
      <c r="O912" s="2" t="s">
        <v>187</v>
      </c>
      <c r="Q912" s="22"/>
      <c r="R912" s="2"/>
      <c r="S912" s="2"/>
      <c r="T912" s="2"/>
      <c r="U912" s="34">
        <f t="shared" si="14"/>
        <v>0.95730000000000004</v>
      </c>
    </row>
    <row r="913" spans="1:21" x14ac:dyDescent="0.2">
      <c r="A913" s="18" t="s">
        <v>2694</v>
      </c>
      <c r="B913" s="19" t="s">
        <v>2694</v>
      </c>
      <c r="C913" s="19" t="s">
        <v>2695</v>
      </c>
      <c r="D913" s="20">
        <v>0.53710438625000001</v>
      </c>
      <c r="E913" s="20">
        <v>4.0633424852499997</v>
      </c>
      <c r="F913" s="1">
        <v>0.85868435151330647</v>
      </c>
      <c r="G913" s="42"/>
      <c r="H913" s="43" t="s">
        <v>187</v>
      </c>
      <c r="J913" s="44"/>
      <c r="K913" s="35">
        <v>0</v>
      </c>
      <c r="L913" s="35">
        <v>0.753</v>
      </c>
      <c r="M913" s="35">
        <v>0.13070000000000001</v>
      </c>
      <c r="N913" s="21"/>
      <c r="O913" s="2" t="s">
        <v>187</v>
      </c>
      <c r="Q913" s="22"/>
      <c r="R913" s="2"/>
      <c r="S913" s="2"/>
      <c r="T913" s="2"/>
      <c r="U913" s="34">
        <f t="shared" si="14"/>
        <v>0.753</v>
      </c>
    </row>
    <row r="914" spans="1:21" x14ac:dyDescent="0.2">
      <c r="A914" s="18" t="s">
        <v>2696</v>
      </c>
      <c r="B914" s="19" t="s">
        <v>2696</v>
      </c>
      <c r="C914" s="19" t="s">
        <v>2697</v>
      </c>
      <c r="D914" s="25">
        <v>0.59767446874999997</v>
      </c>
      <c r="E914" s="25">
        <v>6.924726037000001</v>
      </c>
      <c r="F914" s="1">
        <v>0.11040227376628341</v>
      </c>
      <c r="G914" s="42"/>
      <c r="H914" s="43" t="s">
        <v>187</v>
      </c>
      <c r="J914" s="44"/>
      <c r="K914" s="35">
        <v>0</v>
      </c>
      <c r="L914" s="35">
        <v>0.94989999999999997</v>
      </c>
      <c r="M914" s="35">
        <v>1.0800000000000001E-2</v>
      </c>
      <c r="N914" s="21"/>
      <c r="O914" s="2" t="s">
        <v>187</v>
      </c>
      <c r="Q914" s="22"/>
      <c r="R914" s="2"/>
      <c r="S914" s="2"/>
      <c r="T914" s="2"/>
      <c r="U914" s="34">
        <f t="shared" si="14"/>
        <v>0.94989999999999997</v>
      </c>
    </row>
    <row r="915" spans="1:21" x14ac:dyDescent="0.2">
      <c r="A915" s="18" t="s">
        <v>2698</v>
      </c>
      <c r="B915" s="19" t="s">
        <v>2699</v>
      </c>
      <c r="C915" s="19" t="s">
        <v>2700</v>
      </c>
      <c r="D915" s="1">
        <v>1.3812837462499998</v>
      </c>
      <c r="E915" s="1">
        <v>10.875036668500002</v>
      </c>
      <c r="F915" s="1">
        <v>0.41232876946640001</v>
      </c>
      <c r="G915" s="42"/>
      <c r="H915" s="43" t="s">
        <v>187</v>
      </c>
      <c r="J915" s="44"/>
      <c r="K915" s="35">
        <v>4.0000000000000001E-3</v>
      </c>
      <c r="L915" s="35">
        <v>0.95979999999999999</v>
      </c>
      <c r="M915" s="35">
        <v>1E-4</v>
      </c>
      <c r="N915" s="21" t="s">
        <v>187</v>
      </c>
      <c r="Q915" s="22"/>
      <c r="R915" s="2"/>
      <c r="S915" s="2"/>
      <c r="T915" s="2"/>
      <c r="U915" s="34">
        <f t="shared" si="14"/>
        <v>0.95979999999999999</v>
      </c>
    </row>
    <row r="916" spans="1:21" x14ac:dyDescent="0.2">
      <c r="A916" s="18" t="s">
        <v>2701</v>
      </c>
      <c r="B916" s="19" t="s">
        <v>2701</v>
      </c>
      <c r="C916" s="19" t="s">
        <v>2702</v>
      </c>
      <c r="D916" s="20">
        <v>2.5173352467499996</v>
      </c>
      <c r="E916" s="20">
        <v>11.220708157499999</v>
      </c>
      <c r="F916" s="1">
        <v>0.65226278789920522</v>
      </c>
      <c r="G916" s="42"/>
      <c r="H916" s="43" t="s">
        <v>187</v>
      </c>
      <c r="J916" s="44"/>
      <c r="K916" s="35">
        <v>0.18820000000000001</v>
      </c>
      <c r="L916" s="35">
        <v>0.73019999999999996</v>
      </c>
      <c r="M916" s="35">
        <v>0</v>
      </c>
      <c r="N916" s="21"/>
      <c r="O916" s="2" t="s">
        <v>187</v>
      </c>
      <c r="Q916" s="22"/>
      <c r="R916" s="2"/>
      <c r="S916" s="2"/>
      <c r="T916" s="2"/>
      <c r="U916" s="34">
        <f t="shared" si="14"/>
        <v>0.73019999999999996</v>
      </c>
    </row>
    <row r="917" spans="1:21" x14ac:dyDescent="0.2">
      <c r="A917" s="18" t="s">
        <v>2703</v>
      </c>
      <c r="B917" s="19" t="s">
        <v>2703</v>
      </c>
      <c r="C917" s="19" t="s">
        <v>637</v>
      </c>
      <c r="D917" s="20">
        <v>10.27691083225</v>
      </c>
      <c r="E917" s="20">
        <v>18.616515060000001</v>
      </c>
      <c r="F917" s="1">
        <v>0</v>
      </c>
      <c r="G917" s="42" t="s">
        <v>187</v>
      </c>
      <c r="J917" s="44"/>
      <c r="K917" s="35">
        <v>0.98409999999999997</v>
      </c>
      <c r="L917" s="35">
        <v>2.5999999999999999E-3</v>
      </c>
      <c r="M917" s="35">
        <v>0</v>
      </c>
      <c r="N917" s="21"/>
      <c r="Q917" s="22" t="s">
        <v>187</v>
      </c>
      <c r="R917" s="2"/>
      <c r="S917" s="2"/>
      <c r="T917" s="2"/>
      <c r="U917" s="34">
        <f t="shared" si="14"/>
        <v>0.98409999999999997</v>
      </c>
    </row>
    <row r="918" spans="1:21" x14ac:dyDescent="0.2">
      <c r="A918" s="18" t="s">
        <v>2704</v>
      </c>
      <c r="B918" s="19" t="s">
        <v>2704</v>
      </c>
      <c r="C918" s="19" t="s">
        <v>2705</v>
      </c>
      <c r="D918" s="20">
        <v>0.38482536133333339</v>
      </c>
      <c r="E918" s="20">
        <v>12.377897040000001</v>
      </c>
      <c r="F918" s="1">
        <v>0</v>
      </c>
      <c r="G918" s="42"/>
      <c r="H918" s="43" t="s">
        <v>187</v>
      </c>
      <c r="J918" s="44"/>
      <c r="K918" s="35">
        <v>0</v>
      </c>
      <c r="L918" s="35">
        <v>0.94269999999999998</v>
      </c>
      <c r="M918" s="35">
        <v>4.1999999999999997E-3</v>
      </c>
      <c r="N918" s="21"/>
      <c r="O918" s="2" t="s">
        <v>187</v>
      </c>
      <c r="Q918" s="22"/>
      <c r="R918" s="2"/>
      <c r="S918" s="2"/>
      <c r="T918" s="2"/>
      <c r="U918" s="34">
        <f t="shared" si="14"/>
        <v>0.94269999999999998</v>
      </c>
    </row>
    <row r="919" spans="1:21" x14ac:dyDescent="0.2">
      <c r="A919" s="18" t="s">
        <v>1752</v>
      </c>
      <c r="B919" s="19" t="s">
        <v>1752</v>
      </c>
      <c r="C919" s="19" t="s">
        <v>2706</v>
      </c>
      <c r="D919" s="20">
        <v>0.28673729325000002</v>
      </c>
      <c r="E919" s="20">
        <v>7.7977737749999998E-2</v>
      </c>
      <c r="F919" s="1">
        <v>0.91157701821054427</v>
      </c>
      <c r="G919" s="42"/>
      <c r="I919" s="43" t="s">
        <v>187</v>
      </c>
      <c r="J919" s="44"/>
      <c r="K919" s="35">
        <v>0</v>
      </c>
      <c r="L919" s="35">
        <v>0</v>
      </c>
      <c r="M919" s="35">
        <v>0.95499999999999996</v>
      </c>
      <c r="N919" s="21"/>
      <c r="O919" s="2" t="s">
        <v>187</v>
      </c>
      <c r="Q919" s="22"/>
      <c r="R919" s="2"/>
      <c r="S919" s="2"/>
      <c r="T919" s="2"/>
      <c r="U919" s="34">
        <f t="shared" si="14"/>
        <v>0.95499999999999996</v>
      </c>
    </row>
    <row r="920" spans="1:21" x14ac:dyDescent="0.2">
      <c r="A920" s="18" t="s">
        <v>2708</v>
      </c>
      <c r="B920" s="19" t="s">
        <v>2708</v>
      </c>
      <c r="C920" s="19" t="s">
        <v>2709</v>
      </c>
      <c r="D920" s="20">
        <v>0.92902387975</v>
      </c>
      <c r="E920" s="20">
        <v>4.8911383685000001</v>
      </c>
      <c r="F920" s="1">
        <v>0.18594357087873886</v>
      </c>
      <c r="G920" s="42"/>
      <c r="H920" s="43" t="s">
        <v>187</v>
      </c>
      <c r="J920" s="44"/>
      <c r="K920" s="35">
        <v>0</v>
      </c>
      <c r="L920" s="35">
        <v>0.84</v>
      </c>
      <c r="M920" s="35">
        <v>1.95E-2</v>
      </c>
      <c r="N920" s="21"/>
      <c r="O920" s="2" t="s">
        <v>187</v>
      </c>
      <c r="Q920" s="22"/>
      <c r="R920" s="2"/>
      <c r="S920" s="2"/>
      <c r="T920" s="2"/>
      <c r="U920" s="34">
        <f t="shared" si="14"/>
        <v>0.84</v>
      </c>
    </row>
    <row r="921" spans="1:21" x14ac:dyDescent="0.2">
      <c r="A921" s="18" t="s">
        <v>2710</v>
      </c>
      <c r="B921" s="19" t="s">
        <v>2710</v>
      </c>
      <c r="C921" s="19" t="s">
        <v>637</v>
      </c>
      <c r="D921" s="20">
        <v>16.994</v>
      </c>
      <c r="E921" s="23" t="s">
        <v>46</v>
      </c>
      <c r="F921" s="1" t="s">
        <v>47</v>
      </c>
      <c r="G921" s="24" t="s">
        <v>187</v>
      </c>
      <c r="J921" s="44"/>
      <c r="K921" s="35" t="e">
        <v>#N/A</v>
      </c>
      <c r="L921" s="35" t="e">
        <v>#N/A</v>
      </c>
      <c r="M921" s="35" t="e">
        <v>#N/A</v>
      </c>
      <c r="N921" s="21"/>
      <c r="Q921" s="22" t="s">
        <v>187</v>
      </c>
      <c r="R921" s="2"/>
      <c r="S921" s="2"/>
      <c r="T921" s="2"/>
      <c r="U921" s="34" t="e">
        <f t="shared" si="14"/>
        <v>#N/A</v>
      </c>
    </row>
    <row r="922" spans="1:21" x14ac:dyDescent="0.2">
      <c r="A922" s="18" t="s">
        <v>2486</v>
      </c>
      <c r="B922" s="19" t="s">
        <v>2486</v>
      </c>
      <c r="C922" s="19" t="s">
        <v>2711</v>
      </c>
      <c r="D922" s="20">
        <v>0.465699164</v>
      </c>
      <c r="E922" s="20">
        <v>0.26547034399999997</v>
      </c>
      <c r="F922" s="1">
        <v>0</v>
      </c>
      <c r="G922" s="42"/>
      <c r="I922" s="43" t="s">
        <v>187</v>
      </c>
      <c r="J922" s="44"/>
      <c r="K922" s="35">
        <v>0</v>
      </c>
      <c r="L922" s="35">
        <v>0</v>
      </c>
      <c r="M922" s="35">
        <v>0.95779999999999998</v>
      </c>
      <c r="N922" s="21" t="s">
        <v>187</v>
      </c>
      <c r="Q922" s="22"/>
      <c r="R922" s="2"/>
      <c r="S922" s="2"/>
      <c r="T922" s="2"/>
      <c r="U922" s="34">
        <f t="shared" si="14"/>
        <v>0.95779999999999998</v>
      </c>
    </row>
    <row r="923" spans="1:21" x14ac:dyDescent="0.2">
      <c r="A923" s="18" t="s">
        <v>2713</v>
      </c>
      <c r="B923" s="19" t="s">
        <v>2713</v>
      </c>
      <c r="C923" s="19" t="s">
        <v>2714</v>
      </c>
      <c r="D923" s="20">
        <v>3.5790264839999999</v>
      </c>
      <c r="E923" s="20">
        <v>5.6348740319999999</v>
      </c>
      <c r="F923" s="1">
        <v>4.9589021299914604</v>
      </c>
      <c r="G923" s="42"/>
      <c r="J923" s="44" t="s">
        <v>187</v>
      </c>
      <c r="K923" s="35">
        <v>0.2024</v>
      </c>
      <c r="L923" s="35">
        <v>0.1027</v>
      </c>
      <c r="M923" s="35">
        <v>0</v>
      </c>
      <c r="N923" s="21"/>
      <c r="Q923" s="22"/>
      <c r="R923" s="2"/>
      <c r="S923" s="2"/>
      <c r="T923" s="2"/>
      <c r="U923" s="34">
        <f t="shared" si="14"/>
        <v>0.2024</v>
      </c>
    </row>
    <row r="924" spans="1:21" x14ac:dyDescent="0.2">
      <c r="A924" s="18" t="s">
        <v>2716</v>
      </c>
      <c r="B924" s="19" t="s">
        <v>2716</v>
      </c>
      <c r="C924" s="19" t="s">
        <v>2717</v>
      </c>
      <c r="D924" s="20">
        <v>4.0054268392500001</v>
      </c>
      <c r="E924" s="20">
        <v>5.3788196789999994</v>
      </c>
      <c r="F924" s="1">
        <v>0.34606164580221482</v>
      </c>
      <c r="G924" s="42"/>
      <c r="J924" s="44" t="s">
        <v>187</v>
      </c>
      <c r="K924" s="35">
        <v>0.2041</v>
      </c>
      <c r="L924" s="35">
        <v>4.8599999999999997E-2</v>
      </c>
      <c r="M924" s="35">
        <v>0</v>
      </c>
      <c r="N924" s="21"/>
      <c r="Q924" s="22"/>
      <c r="R924" s="2"/>
      <c r="S924" s="2"/>
      <c r="T924" s="2"/>
      <c r="U924" s="34">
        <f t="shared" si="14"/>
        <v>0.2041</v>
      </c>
    </row>
    <row r="925" spans="1:21" x14ac:dyDescent="0.2">
      <c r="A925" s="18" t="s">
        <v>2718</v>
      </c>
      <c r="B925" s="19" t="s">
        <v>2719</v>
      </c>
      <c r="C925" s="19" t="s">
        <v>2720</v>
      </c>
      <c r="D925" s="20">
        <v>0.619492979</v>
      </c>
      <c r="E925" s="20">
        <v>7.1084676223333334</v>
      </c>
      <c r="F925" s="1">
        <v>1.4726027480944284</v>
      </c>
      <c r="G925" s="42"/>
      <c r="H925" s="43" t="s">
        <v>187</v>
      </c>
      <c r="J925" s="44"/>
      <c r="K925" s="35">
        <v>0</v>
      </c>
      <c r="L925" s="35">
        <v>0.95289999999999997</v>
      </c>
      <c r="M925" s="35">
        <v>9.1000000000000004E-3</v>
      </c>
      <c r="N925" s="21" t="s">
        <v>187</v>
      </c>
      <c r="Q925" s="22"/>
      <c r="R925" s="2"/>
      <c r="S925" s="2"/>
      <c r="T925" s="2"/>
      <c r="U925" s="34">
        <f t="shared" si="14"/>
        <v>0.95289999999999997</v>
      </c>
    </row>
    <row r="926" spans="1:21" x14ac:dyDescent="0.2">
      <c r="A926" s="18" t="s">
        <v>2721</v>
      </c>
      <c r="B926" s="19" t="s">
        <v>2721</v>
      </c>
      <c r="C926" s="19" t="s">
        <v>2674</v>
      </c>
      <c r="D926" s="20">
        <v>1.1742277336666664</v>
      </c>
      <c r="E926" s="20">
        <v>6.4540184253333335</v>
      </c>
      <c r="F926" s="1">
        <v>0</v>
      </c>
      <c r="G926" s="42"/>
      <c r="H926" s="43" t="s">
        <v>187</v>
      </c>
      <c r="J926" s="44"/>
      <c r="K926" s="35">
        <v>5.0000000000000001E-4</v>
      </c>
      <c r="L926" s="35">
        <v>0.90859999999999996</v>
      </c>
      <c r="M926" s="35">
        <v>2.0999999999999999E-3</v>
      </c>
      <c r="N926" s="21"/>
      <c r="O926" s="2" t="s">
        <v>187</v>
      </c>
      <c r="Q926" s="22"/>
      <c r="R926" s="2"/>
      <c r="S926" s="2"/>
      <c r="T926" s="2"/>
      <c r="U926" s="34">
        <f t="shared" si="14"/>
        <v>0.90859999999999996</v>
      </c>
    </row>
    <row r="927" spans="1:21" x14ac:dyDescent="0.2">
      <c r="A927" s="18" t="s">
        <v>2722</v>
      </c>
      <c r="B927" s="19" t="s">
        <v>2722</v>
      </c>
      <c r="C927" s="19" t="s">
        <v>2674</v>
      </c>
      <c r="D927" s="20">
        <v>0.59641326250000004</v>
      </c>
      <c r="E927" s="20">
        <v>4.9075442330000003</v>
      </c>
      <c r="F927" s="1">
        <v>6.0859253413656118</v>
      </c>
      <c r="G927" s="42"/>
      <c r="H927" s="43" t="s">
        <v>187</v>
      </c>
      <c r="J927" s="44"/>
      <c r="K927" s="35">
        <v>0</v>
      </c>
      <c r="L927" s="35">
        <v>0.87119999999999997</v>
      </c>
      <c r="M927" s="35">
        <v>4.9000000000000002E-2</v>
      </c>
      <c r="N927" s="21"/>
      <c r="O927" s="2" t="s">
        <v>187</v>
      </c>
      <c r="Q927" s="22"/>
      <c r="R927" s="2"/>
      <c r="S927" s="2"/>
      <c r="T927" s="2"/>
      <c r="U927" s="34">
        <f t="shared" si="14"/>
        <v>0.87119999999999997</v>
      </c>
    </row>
    <row r="928" spans="1:21" x14ac:dyDescent="0.2">
      <c r="A928" s="18" t="s">
        <v>2723</v>
      </c>
      <c r="B928" s="19" t="s">
        <v>2723</v>
      </c>
      <c r="C928" s="19" t="s">
        <v>2724</v>
      </c>
      <c r="D928" s="20">
        <v>0.80078013425000005</v>
      </c>
      <c r="E928" s="25">
        <v>3.8942261143333332</v>
      </c>
      <c r="F928" s="1" t="s">
        <v>47</v>
      </c>
      <c r="G928" s="42"/>
      <c r="H928" s="49" t="s">
        <v>187</v>
      </c>
      <c r="J928" s="44"/>
      <c r="K928" s="35">
        <v>0</v>
      </c>
      <c r="L928" s="35">
        <v>0.68799999999999994</v>
      </c>
      <c r="M928" s="35">
        <v>8.9399999999999993E-2</v>
      </c>
      <c r="N928" s="21"/>
      <c r="O928" s="2" t="s">
        <v>187</v>
      </c>
      <c r="Q928" s="22"/>
      <c r="R928" s="2"/>
      <c r="S928" s="2"/>
      <c r="T928" s="2"/>
      <c r="U928" s="34">
        <f t="shared" si="14"/>
        <v>0.68799999999999994</v>
      </c>
    </row>
    <row r="929" spans="1:21" x14ac:dyDescent="0.2">
      <c r="A929" s="18" t="s">
        <v>1559</v>
      </c>
      <c r="B929" s="19" t="s">
        <v>1559</v>
      </c>
      <c r="C929" s="19" t="s">
        <v>2725</v>
      </c>
      <c r="D929" s="20">
        <v>0.3249664115</v>
      </c>
      <c r="E929" s="20">
        <v>0.13273088550000001</v>
      </c>
      <c r="F929" s="1">
        <v>0</v>
      </c>
      <c r="G929" s="42"/>
      <c r="I929" s="43" t="s">
        <v>187</v>
      </c>
      <c r="J929" s="44"/>
      <c r="K929" s="35">
        <v>0</v>
      </c>
      <c r="L929" s="35">
        <v>0</v>
      </c>
      <c r="M929" s="35">
        <v>0.96709999999999996</v>
      </c>
      <c r="N929" s="21"/>
      <c r="O929" s="2" t="s">
        <v>187</v>
      </c>
      <c r="Q929" s="22"/>
      <c r="R929" s="2"/>
      <c r="S929" s="2"/>
      <c r="T929" s="2"/>
      <c r="U929" s="34">
        <f t="shared" si="14"/>
        <v>0.96709999999999996</v>
      </c>
    </row>
    <row r="930" spans="1:21" x14ac:dyDescent="0.2">
      <c r="A930" s="18" t="s">
        <v>2726</v>
      </c>
      <c r="B930" s="19" t="s">
        <v>2726</v>
      </c>
      <c r="C930" s="19" t="s">
        <v>2727</v>
      </c>
      <c r="D930" s="20">
        <v>10.65672352725</v>
      </c>
      <c r="E930" s="20">
        <v>11.35885401725</v>
      </c>
      <c r="F930" s="1">
        <v>4.1774993701136074</v>
      </c>
      <c r="G930" s="42" t="s">
        <v>187</v>
      </c>
      <c r="J930" s="44"/>
      <c r="K930" s="35">
        <v>0.97289999999999999</v>
      </c>
      <c r="L930" s="35">
        <v>5.9999999999999995E-4</v>
      </c>
      <c r="M930" s="35">
        <v>0</v>
      </c>
      <c r="N930" s="21"/>
      <c r="Q930" s="22" t="s">
        <v>187</v>
      </c>
      <c r="R930" s="2"/>
      <c r="S930" s="2"/>
      <c r="T930" s="2"/>
      <c r="U930" s="34">
        <f t="shared" si="14"/>
        <v>0.97289999999999999</v>
      </c>
    </row>
    <row r="931" spans="1:21" x14ac:dyDescent="0.2">
      <c r="A931" s="18" t="s">
        <v>2728</v>
      </c>
      <c r="B931" s="19" t="s">
        <v>2728</v>
      </c>
      <c r="C931" s="19" t="s">
        <v>2729</v>
      </c>
      <c r="D931" s="20">
        <v>0.30654750749999998</v>
      </c>
      <c r="E931" s="20">
        <v>8.4010007760000001</v>
      </c>
      <c r="F931" s="1">
        <v>0</v>
      </c>
      <c r="G931" s="42"/>
      <c r="H931" s="43" t="s">
        <v>187</v>
      </c>
      <c r="J931" s="44"/>
      <c r="K931" s="35">
        <v>0</v>
      </c>
      <c r="L931" s="35">
        <v>0.93240000000000001</v>
      </c>
      <c r="M931" s="35">
        <v>1.14E-2</v>
      </c>
      <c r="N931" s="21"/>
      <c r="O931" s="2" t="s">
        <v>187</v>
      </c>
      <c r="Q931" s="22"/>
      <c r="R931" s="2"/>
      <c r="S931" s="2"/>
      <c r="T931" s="2"/>
      <c r="U931" s="34">
        <f t="shared" si="14"/>
        <v>0.93240000000000001</v>
      </c>
    </row>
    <row r="932" spans="1:21" x14ac:dyDescent="0.2">
      <c r="A932" s="18" t="s">
        <v>2730</v>
      </c>
      <c r="B932" s="19" t="s">
        <v>2730</v>
      </c>
      <c r="C932" s="19" t="s">
        <v>637</v>
      </c>
      <c r="D932" s="20">
        <v>2.2074195814999999</v>
      </c>
      <c r="E932" s="20">
        <v>7.2100955515000003</v>
      </c>
      <c r="F932" s="1">
        <v>0.23286391119398239</v>
      </c>
      <c r="G932" s="42"/>
      <c r="J932" s="44" t="s">
        <v>187</v>
      </c>
      <c r="K932" s="35">
        <v>5.7599999999999998E-2</v>
      </c>
      <c r="L932" s="35">
        <v>0.7167</v>
      </c>
      <c r="M932" s="35">
        <v>0</v>
      </c>
      <c r="N932" s="21"/>
      <c r="Q932" s="22"/>
      <c r="R932" s="2"/>
      <c r="S932" s="2"/>
      <c r="T932" s="2"/>
      <c r="U932" s="34">
        <f t="shared" si="14"/>
        <v>0.7167</v>
      </c>
    </row>
    <row r="933" spans="1:21" x14ac:dyDescent="0.2">
      <c r="A933" s="18" t="s">
        <v>2731</v>
      </c>
      <c r="B933" s="19" t="s">
        <v>2732</v>
      </c>
      <c r="C933" s="19" t="s">
        <v>2733</v>
      </c>
      <c r="D933" s="20">
        <v>0.42907405799999998</v>
      </c>
      <c r="E933" s="20">
        <v>1.1779999999999999</v>
      </c>
      <c r="F933" s="1">
        <v>37.374657746650719</v>
      </c>
      <c r="G933" s="42"/>
      <c r="I933" s="43" t="s">
        <v>187</v>
      </c>
      <c r="J933" s="44"/>
      <c r="K933" s="35">
        <v>0</v>
      </c>
      <c r="L933" s="35">
        <v>6.9999999999999999E-4</v>
      </c>
      <c r="M933" s="35">
        <v>0.91779999999999995</v>
      </c>
      <c r="N933" s="21"/>
      <c r="O933" s="2" t="s">
        <v>187</v>
      </c>
      <c r="Q933" s="22"/>
      <c r="R933" s="2"/>
      <c r="S933" s="2"/>
      <c r="T933" s="2"/>
      <c r="U933" s="34">
        <f t="shared" si="14"/>
        <v>0.91779999999999995</v>
      </c>
    </row>
    <row r="934" spans="1:21" x14ac:dyDescent="0.2">
      <c r="A934" s="18" t="s">
        <v>2734</v>
      </c>
      <c r="B934" s="19" t="s">
        <v>2735</v>
      </c>
      <c r="C934" s="19" t="s">
        <v>2736</v>
      </c>
      <c r="D934" s="20">
        <v>0.83275255799999992</v>
      </c>
      <c r="E934" s="20">
        <v>8.6820271173333321</v>
      </c>
      <c r="F934" s="1">
        <v>7.4156066957601338E-2</v>
      </c>
      <c r="G934" s="42"/>
      <c r="H934" s="43" t="s">
        <v>187</v>
      </c>
      <c r="J934" s="44"/>
      <c r="K934" s="35">
        <v>1E-4</v>
      </c>
      <c r="L934" s="35">
        <v>0.96619999999999995</v>
      </c>
      <c r="M934" s="35">
        <v>1.9E-3</v>
      </c>
      <c r="N934" s="21"/>
      <c r="O934" s="2" t="s">
        <v>187</v>
      </c>
      <c r="Q934" s="22"/>
      <c r="R934" s="2"/>
      <c r="S934" s="2"/>
      <c r="T934" s="2"/>
      <c r="U934" s="34">
        <f t="shared" si="14"/>
        <v>0.96619999999999995</v>
      </c>
    </row>
    <row r="935" spans="1:21" x14ac:dyDescent="0.2">
      <c r="A935" s="18" t="s">
        <v>1316</v>
      </c>
      <c r="B935" s="19" t="s">
        <v>2737</v>
      </c>
      <c r="C935" s="19" t="s">
        <v>2738</v>
      </c>
      <c r="D935" s="20">
        <v>0.25612095774999999</v>
      </c>
      <c r="E935" s="20">
        <v>0.66686165649999996</v>
      </c>
      <c r="F935" s="1">
        <v>0.18111637537307071</v>
      </c>
      <c r="G935" s="42"/>
      <c r="I935" s="43" t="s">
        <v>187</v>
      </c>
      <c r="J935" s="44"/>
      <c r="K935" s="35">
        <v>0</v>
      </c>
      <c r="L935" s="35">
        <v>0</v>
      </c>
      <c r="M935" s="35">
        <v>0.94789999999999996</v>
      </c>
      <c r="N935" s="21"/>
      <c r="O935" s="2" t="s">
        <v>187</v>
      </c>
      <c r="Q935" s="22"/>
      <c r="R935" s="2"/>
      <c r="S935" s="2"/>
      <c r="T935" s="2"/>
      <c r="U935" s="34">
        <f t="shared" si="14"/>
        <v>0.94789999999999996</v>
      </c>
    </row>
    <row r="936" spans="1:21" x14ac:dyDescent="0.2">
      <c r="A936" s="18" t="s">
        <v>2739</v>
      </c>
      <c r="B936" s="19" t="s">
        <v>2739</v>
      </c>
      <c r="C936" s="19" t="s">
        <v>2740</v>
      </c>
      <c r="D936" s="20">
        <v>0.67611401500000001</v>
      </c>
      <c r="E936" s="20">
        <v>9.8714999999999993</v>
      </c>
      <c r="F936" s="1">
        <v>0.39671217039940693</v>
      </c>
      <c r="G936" s="42"/>
      <c r="H936" s="43" t="s">
        <v>187</v>
      </c>
      <c r="J936" s="44"/>
      <c r="K936" s="35">
        <v>0</v>
      </c>
      <c r="L936" s="35">
        <v>0.97030000000000005</v>
      </c>
      <c r="M936" s="35">
        <v>2.3E-3</v>
      </c>
      <c r="N936" s="21"/>
      <c r="O936" s="2" t="s">
        <v>187</v>
      </c>
      <c r="Q936" s="22"/>
      <c r="R936" s="2"/>
      <c r="S936" s="2"/>
      <c r="T936" s="2"/>
      <c r="U936" s="34">
        <f t="shared" si="14"/>
        <v>0.97030000000000005</v>
      </c>
    </row>
    <row r="937" spans="1:21" x14ac:dyDescent="0.2">
      <c r="A937" s="18" t="s">
        <v>2741</v>
      </c>
      <c r="B937" s="19" t="s">
        <v>2741</v>
      </c>
      <c r="C937" s="19" t="s">
        <v>2742</v>
      </c>
      <c r="D937" s="20">
        <v>3.6151703153333332</v>
      </c>
      <c r="E937" s="20">
        <v>9.1377734550000014</v>
      </c>
      <c r="F937" s="1">
        <v>0.17303082290120553</v>
      </c>
      <c r="G937" s="42" t="s">
        <v>187</v>
      </c>
      <c r="J937" s="44"/>
      <c r="K937" s="35">
        <v>0.63180000000000003</v>
      </c>
      <c r="L937" s="35">
        <v>0.2195</v>
      </c>
      <c r="M937" s="35">
        <v>0</v>
      </c>
      <c r="N937" s="21"/>
      <c r="Q937" s="22" t="s">
        <v>187</v>
      </c>
      <c r="R937" s="2"/>
      <c r="S937" s="2"/>
      <c r="T937" s="2"/>
      <c r="U937" s="34">
        <f t="shared" si="14"/>
        <v>0.63180000000000003</v>
      </c>
    </row>
    <row r="938" spans="1:21" x14ac:dyDescent="0.2">
      <c r="A938" s="18" t="s">
        <v>2743</v>
      </c>
      <c r="B938" s="19" t="s">
        <v>2743</v>
      </c>
      <c r="C938" s="19" t="s">
        <v>2744</v>
      </c>
      <c r="D938" s="20">
        <v>0.61867773866666664</v>
      </c>
      <c r="E938" s="20">
        <v>9.6997143499999994E-2</v>
      </c>
      <c r="F938" s="1">
        <v>0</v>
      </c>
      <c r="G938" s="42"/>
      <c r="I938" s="43" t="s">
        <v>187</v>
      </c>
      <c r="J938" s="44"/>
      <c r="K938" s="35">
        <v>0</v>
      </c>
      <c r="L938" s="35">
        <v>0</v>
      </c>
      <c r="M938" s="35">
        <v>0.85440000000000005</v>
      </c>
      <c r="N938" s="21"/>
      <c r="O938" s="2" t="s">
        <v>187</v>
      </c>
      <c r="Q938" s="22"/>
      <c r="R938" s="2"/>
      <c r="S938" s="2"/>
      <c r="T938" s="2"/>
      <c r="U938" s="34">
        <f t="shared" si="14"/>
        <v>0.85440000000000005</v>
      </c>
    </row>
    <row r="939" spans="1:21" x14ac:dyDescent="0.2">
      <c r="A939" s="18" t="s">
        <v>2745</v>
      </c>
      <c r="B939" s="19" t="s">
        <v>2745</v>
      </c>
      <c r="C939" s="19" t="s">
        <v>2746</v>
      </c>
      <c r="D939" s="20">
        <v>1.6022350169999999</v>
      </c>
      <c r="E939" s="20">
        <v>7.9131983855000012</v>
      </c>
      <c r="F939" s="1">
        <v>0.15819960950958645</v>
      </c>
      <c r="G939" s="42"/>
      <c r="H939" s="43" t="s">
        <v>187</v>
      </c>
      <c r="J939" s="44"/>
      <c r="K939" s="35">
        <v>7.7999999999999996E-3</v>
      </c>
      <c r="L939" s="35">
        <v>0.90339999999999998</v>
      </c>
      <c r="M939" s="35">
        <v>2.0000000000000001E-4</v>
      </c>
      <c r="N939" s="21"/>
      <c r="O939" s="2" t="s">
        <v>187</v>
      </c>
      <c r="Q939" s="22"/>
      <c r="R939" s="2"/>
      <c r="S939" s="2"/>
      <c r="T939" s="2"/>
      <c r="U939" s="34">
        <f t="shared" si="14"/>
        <v>0.90339999999999998</v>
      </c>
    </row>
    <row r="940" spans="1:21" x14ac:dyDescent="0.2">
      <c r="A940" s="18" t="s">
        <v>2747</v>
      </c>
      <c r="B940" s="19" t="s">
        <v>2747</v>
      </c>
      <c r="C940" s="19" t="s">
        <v>2674</v>
      </c>
      <c r="D940" s="20">
        <v>0.71091089350000003</v>
      </c>
      <c r="E940" s="20">
        <v>9.5672008433333335</v>
      </c>
      <c r="F940" s="1">
        <v>1.577832495908603</v>
      </c>
      <c r="G940" s="42"/>
      <c r="H940" s="43" t="s">
        <v>187</v>
      </c>
      <c r="J940" s="44"/>
      <c r="K940" s="35">
        <v>0</v>
      </c>
      <c r="L940" s="35">
        <v>0.97009999999999996</v>
      </c>
      <c r="M940" s="35">
        <v>2.2000000000000001E-3</v>
      </c>
      <c r="N940" s="21"/>
      <c r="O940" s="2" t="s">
        <v>187</v>
      </c>
      <c r="Q940" s="22"/>
      <c r="R940" s="2"/>
      <c r="S940" s="2"/>
      <c r="T940" s="2"/>
      <c r="U940" s="34">
        <f t="shared" si="14"/>
        <v>0.97009999999999996</v>
      </c>
    </row>
    <row r="941" spans="1:21" x14ac:dyDescent="0.2">
      <c r="A941" s="18" t="s">
        <v>2446</v>
      </c>
      <c r="B941" s="19" t="s">
        <v>2748</v>
      </c>
      <c r="C941" s="19" t="s">
        <v>2749</v>
      </c>
      <c r="D941" s="20">
        <v>0.17231875424999998</v>
      </c>
      <c r="E941" s="20">
        <v>0.21600456899999998</v>
      </c>
      <c r="F941" s="1">
        <v>0.28461144701489832</v>
      </c>
      <c r="G941" s="42"/>
      <c r="I941" s="43" t="s">
        <v>187</v>
      </c>
      <c r="J941" s="44"/>
      <c r="K941" s="35">
        <v>0</v>
      </c>
      <c r="L941" s="35">
        <v>0</v>
      </c>
      <c r="M941" s="35">
        <v>0.93100000000000005</v>
      </c>
      <c r="N941" s="21"/>
      <c r="O941" s="2" t="s">
        <v>187</v>
      </c>
      <c r="Q941" s="22"/>
      <c r="R941" s="2"/>
      <c r="S941" s="2"/>
      <c r="T941" s="2"/>
      <c r="U941" s="34">
        <f t="shared" si="14"/>
        <v>0.93100000000000005</v>
      </c>
    </row>
    <row r="942" spans="1:21" x14ac:dyDescent="0.2">
      <c r="A942" s="18" t="s">
        <v>1845</v>
      </c>
      <c r="B942" s="19" t="s">
        <v>2750</v>
      </c>
      <c r="C942" s="19" t="s">
        <v>2751</v>
      </c>
      <c r="D942" s="20">
        <v>0.23053593833333333</v>
      </c>
      <c r="E942" s="20">
        <v>0.238203357</v>
      </c>
      <c r="F942" s="1">
        <v>0</v>
      </c>
      <c r="G942" s="42"/>
      <c r="I942" s="43" t="s">
        <v>187</v>
      </c>
      <c r="J942" s="44"/>
      <c r="K942" s="35">
        <v>0</v>
      </c>
      <c r="L942" s="35">
        <v>0</v>
      </c>
      <c r="M942" s="35">
        <v>0.96350000000000002</v>
      </c>
      <c r="N942" s="21"/>
      <c r="O942" s="2" t="s">
        <v>187</v>
      </c>
      <c r="Q942" s="22"/>
      <c r="R942" s="2"/>
      <c r="S942" s="2"/>
      <c r="T942" s="2"/>
      <c r="U942" s="34">
        <f t="shared" si="14"/>
        <v>0.96350000000000002</v>
      </c>
    </row>
    <row r="943" spans="1:21" x14ac:dyDescent="0.2">
      <c r="A943" s="18" t="s">
        <v>2209</v>
      </c>
      <c r="B943" s="19" t="s">
        <v>2752</v>
      </c>
      <c r="C943" s="19" t="s">
        <v>2753</v>
      </c>
      <c r="D943" s="20">
        <v>0.32866524075000003</v>
      </c>
      <c r="E943" s="20">
        <v>0.22754666025</v>
      </c>
      <c r="F943" s="1">
        <v>0.2132592775250792</v>
      </c>
      <c r="G943" s="42"/>
      <c r="I943" s="43" t="s">
        <v>187</v>
      </c>
      <c r="J943" s="44"/>
      <c r="K943" s="35">
        <v>0</v>
      </c>
      <c r="L943" s="35">
        <v>0</v>
      </c>
      <c r="M943" s="35">
        <v>0.97109999999999996</v>
      </c>
      <c r="N943" s="21"/>
      <c r="O943" s="2" t="s">
        <v>187</v>
      </c>
      <c r="Q943" s="22"/>
      <c r="R943" s="2"/>
      <c r="S943" s="2"/>
      <c r="T943" s="2"/>
      <c r="U943" s="34">
        <f t="shared" si="14"/>
        <v>0.97109999999999996</v>
      </c>
    </row>
    <row r="944" spans="1:21" x14ac:dyDescent="0.2">
      <c r="A944" s="18" t="s">
        <v>2268</v>
      </c>
      <c r="B944" s="19" t="s">
        <v>2754</v>
      </c>
      <c r="C944" s="19" t="s">
        <v>2755</v>
      </c>
      <c r="D944" s="20">
        <v>0.25169905100000001</v>
      </c>
      <c r="E944" s="20">
        <v>0.24348797975</v>
      </c>
      <c r="F944" s="1">
        <v>0.46654236693312717</v>
      </c>
      <c r="G944" s="42"/>
      <c r="I944" s="43" t="s">
        <v>187</v>
      </c>
      <c r="J944" s="44"/>
      <c r="K944" s="35">
        <v>0</v>
      </c>
      <c r="L944" s="35">
        <v>0</v>
      </c>
      <c r="M944" s="35">
        <v>0.96740000000000004</v>
      </c>
      <c r="N944" s="21"/>
      <c r="O944" s="2" t="s">
        <v>187</v>
      </c>
      <c r="Q944" s="22"/>
      <c r="R944" s="2"/>
      <c r="S944" s="2"/>
      <c r="T944" s="2"/>
      <c r="U944" s="34">
        <f t="shared" si="14"/>
        <v>0.96740000000000004</v>
      </c>
    </row>
    <row r="945" spans="1:21" x14ac:dyDescent="0.2">
      <c r="A945" s="18" t="s">
        <v>2756</v>
      </c>
      <c r="B945" s="19" t="s">
        <v>2757</v>
      </c>
      <c r="C945" s="19" t="s">
        <v>2758</v>
      </c>
      <c r="D945" s="20">
        <v>2.346417894</v>
      </c>
      <c r="E945" s="20">
        <v>26.053527320000001</v>
      </c>
      <c r="F945" s="1">
        <v>0.19904199235683051</v>
      </c>
      <c r="G945" s="42"/>
      <c r="H945" s="43" t="s">
        <v>187</v>
      </c>
      <c r="J945" s="44"/>
      <c r="K945" s="35">
        <v>5.3800000000000001E-2</v>
      </c>
      <c r="L945" s="35">
        <v>0.89900000000000002</v>
      </c>
      <c r="M945" s="35">
        <v>0</v>
      </c>
      <c r="N945" s="21"/>
      <c r="O945" s="2" t="s">
        <v>187</v>
      </c>
      <c r="Q945" s="22"/>
      <c r="R945" s="2"/>
      <c r="S945" s="2"/>
      <c r="T945" s="2"/>
      <c r="U945" s="34">
        <f t="shared" si="14"/>
        <v>0.89900000000000002</v>
      </c>
    </row>
    <row r="946" spans="1:21" x14ac:dyDescent="0.2">
      <c r="A946" s="18" t="s">
        <v>2759</v>
      </c>
      <c r="B946" s="19" t="s">
        <v>2759</v>
      </c>
      <c r="C946" s="19" t="s">
        <v>2760</v>
      </c>
      <c r="D946" s="20">
        <v>0.57657999999999998</v>
      </c>
      <c r="E946" s="20">
        <v>0.51288</v>
      </c>
      <c r="F946" s="1">
        <v>51.843067722636185</v>
      </c>
      <c r="G946" s="42"/>
      <c r="I946" s="43" t="s">
        <v>187</v>
      </c>
      <c r="J946" s="44"/>
      <c r="K946" s="35">
        <v>0</v>
      </c>
      <c r="L946" s="35">
        <v>0</v>
      </c>
      <c r="M946" s="35">
        <v>0.92320000000000002</v>
      </c>
      <c r="N946" s="21"/>
      <c r="O946" s="2" t="s">
        <v>187</v>
      </c>
      <c r="Q946" s="22"/>
      <c r="R946" s="2"/>
      <c r="S946" s="2"/>
      <c r="T946" s="2"/>
      <c r="U946" s="34">
        <f t="shared" si="14"/>
        <v>0.92320000000000002</v>
      </c>
    </row>
    <row r="947" spans="1:21" x14ac:dyDescent="0.2">
      <c r="A947" s="18" t="s">
        <v>2761</v>
      </c>
      <c r="B947" s="19" t="s">
        <v>2761</v>
      </c>
      <c r="C947" s="19" t="s">
        <v>2762</v>
      </c>
      <c r="D947" s="20">
        <v>0.19338619200000001</v>
      </c>
      <c r="E947" s="20">
        <v>0.10657</v>
      </c>
      <c r="F947" s="1">
        <v>0</v>
      </c>
      <c r="G947" s="42"/>
      <c r="I947" s="43" t="s">
        <v>187</v>
      </c>
      <c r="J947" s="44"/>
      <c r="K947" s="35">
        <v>0</v>
      </c>
      <c r="L947" s="35">
        <v>0</v>
      </c>
      <c r="M947" s="35">
        <v>0.94320000000000004</v>
      </c>
      <c r="N947" s="21"/>
      <c r="O947" s="2" t="s">
        <v>187</v>
      </c>
      <c r="Q947" s="22"/>
      <c r="R947" s="2"/>
      <c r="S947" s="2"/>
      <c r="T947" s="2"/>
      <c r="U947" s="34">
        <f t="shared" si="14"/>
        <v>0.94320000000000004</v>
      </c>
    </row>
    <row r="948" spans="1:21" x14ac:dyDescent="0.2">
      <c r="A948" s="18" t="s">
        <v>2763</v>
      </c>
      <c r="B948" s="19" t="s">
        <v>2763</v>
      </c>
      <c r="C948" s="19" t="s">
        <v>2764</v>
      </c>
      <c r="D948" s="20">
        <v>0.48666999999999999</v>
      </c>
      <c r="E948" s="20">
        <v>3.4933999999999998</v>
      </c>
      <c r="F948" s="1">
        <v>0.60107904605940288</v>
      </c>
      <c r="G948" s="42"/>
      <c r="H948" s="49" t="s">
        <v>187</v>
      </c>
      <c r="J948" s="44"/>
      <c r="K948" s="35">
        <v>0</v>
      </c>
      <c r="L948" s="35">
        <v>0.59440000000000004</v>
      </c>
      <c r="M948" s="35">
        <v>0.2591</v>
      </c>
      <c r="N948" s="21"/>
      <c r="O948" s="2" t="s">
        <v>187</v>
      </c>
      <c r="Q948" s="22"/>
      <c r="R948" s="2"/>
      <c r="S948" s="2"/>
      <c r="T948" s="2"/>
      <c r="U948" s="34">
        <f t="shared" si="14"/>
        <v>0.59440000000000004</v>
      </c>
    </row>
    <row r="949" spans="1:21" x14ac:dyDescent="0.2">
      <c r="A949" s="18" t="s">
        <v>2765</v>
      </c>
      <c r="B949" s="19" t="s">
        <v>2765</v>
      </c>
      <c r="C949" s="19" t="s">
        <v>2766</v>
      </c>
      <c r="D949" s="20">
        <v>1.3298644326666667</v>
      </c>
      <c r="E949" s="20">
        <v>6.2932608695000001</v>
      </c>
      <c r="F949" s="1">
        <v>3.305934753328752</v>
      </c>
      <c r="G949" s="42"/>
      <c r="H949" s="43" t="s">
        <v>187</v>
      </c>
      <c r="J949" s="44"/>
      <c r="K949" s="35">
        <v>1.1999999999999999E-3</v>
      </c>
      <c r="L949" s="35">
        <v>0.87729999999999997</v>
      </c>
      <c r="M949" s="35">
        <v>1.4E-3</v>
      </c>
      <c r="N949" s="21"/>
      <c r="O949" s="2" t="s">
        <v>187</v>
      </c>
      <c r="Q949" s="22"/>
      <c r="R949" s="2"/>
      <c r="S949" s="2"/>
      <c r="T949" s="2"/>
      <c r="U949" s="34">
        <f t="shared" si="14"/>
        <v>0.87729999999999997</v>
      </c>
    </row>
    <row r="950" spans="1:21" x14ac:dyDescent="0.2">
      <c r="A950" s="18" t="s">
        <v>2767</v>
      </c>
      <c r="B950" s="19" t="s">
        <v>2768</v>
      </c>
      <c r="C950" s="19" t="s">
        <v>2769</v>
      </c>
      <c r="D950" s="20">
        <v>7.2767971202500004</v>
      </c>
      <c r="E950" s="20">
        <v>24.373511907500003</v>
      </c>
      <c r="F950" s="1">
        <v>0.25815531133824571</v>
      </c>
      <c r="G950" s="42" t="s">
        <v>187</v>
      </c>
      <c r="J950" s="44"/>
      <c r="K950" s="35">
        <v>0.94220000000000004</v>
      </c>
      <c r="L950" s="35">
        <v>3.5200000000000002E-2</v>
      </c>
      <c r="M950" s="35">
        <v>0</v>
      </c>
      <c r="N950" s="21"/>
      <c r="Q950" s="22" t="s">
        <v>187</v>
      </c>
      <c r="R950" s="2"/>
      <c r="S950" s="2"/>
      <c r="T950" s="2"/>
      <c r="U950" s="34">
        <f t="shared" si="14"/>
        <v>0.94220000000000004</v>
      </c>
    </row>
    <row r="951" spans="1:21" x14ac:dyDescent="0.2">
      <c r="A951" s="18" t="s">
        <v>2770</v>
      </c>
      <c r="B951" s="19" t="s">
        <v>2771</v>
      </c>
      <c r="C951" s="19" t="s">
        <v>2772</v>
      </c>
      <c r="D951" s="20">
        <v>11.474176799</v>
      </c>
      <c r="E951" s="20">
        <v>11.836717386</v>
      </c>
      <c r="F951" s="1">
        <v>7.4287899965590043</v>
      </c>
      <c r="G951" s="42" t="s">
        <v>187</v>
      </c>
      <c r="J951" s="44"/>
      <c r="K951" s="35">
        <v>0.97540000000000004</v>
      </c>
      <c r="L951" s="35">
        <v>4.0000000000000002E-4</v>
      </c>
      <c r="M951" s="35">
        <v>0</v>
      </c>
      <c r="N951" s="21"/>
      <c r="P951" s="2" t="s">
        <v>187</v>
      </c>
      <c r="Q951" s="22"/>
      <c r="R951" s="2"/>
      <c r="S951" s="2"/>
      <c r="T951" s="2"/>
      <c r="U951" s="34">
        <f t="shared" si="14"/>
        <v>0.97540000000000004</v>
      </c>
    </row>
    <row r="952" spans="1:21" x14ac:dyDescent="0.2">
      <c r="A952" s="18" t="s">
        <v>2773</v>
      </c>
      <c r="B952" s="19" t="s">
        <v>2773</v>
      </c>
      <c r="C952" s="19" t="s">
        <v>2774</v>
      </c>
      <c r="D952" s="23" t="s">
        <v>46</v>
      </c>
      <c r="E952" s="20">
        <v>0.21398466500000002</v>
      </c>
      <c r="F952" s="1">
        <v>0</v>
      </c>
      <c r="G952" s="42"/>
      <c r="I952" s="49" t="s">
        <v>187</v>
      </c>
      <c r="J952" s="44"/>
      <c r="K952" s="35" t="e">
        <v>#N/A</v>
      </c>
      <c r="L952" s="35" t="e">
        <v>#N/A</v>
      </c>
      <c r="M952" s="35" t="e">
        <v>#N/A</v>
      </c>
      <c r="N952" s="21"/>
      <c r="O952" s="2" t="s">
        <v>187</v>
      </c>
      <c r="Q952" s="22"/>
      <c r="R952" s="2"/>
      <c r="S952" s="2"/>
      <c r="T952" s="2"/>
      <c r="U952" s="34" t="e">
        <f t="shared" si="14"/>
        <v>#N/A</v>
      </c>
    </row>
    <row r="953" spans="1:21" x14ac:dyDescent="0.2">
      <c r="A953" s="18" t="s">
        <v>2775</v>
      </c>
      <c r="B953" s="19" t="s">
        <v>2775</v>
      </c>
      <c r="C953" s="19" t="s">
        <v>2776</v>
      </c>
      <c r="D953" s="20">
        <v>2.1976491610000002</v>
      </c>
      <c r="E953" s="20">
        <v>0.58023995849999999</v>
      </c>
      <c r="F953" s="1">
        <v>27.177359725403477</v>
      </c>
      <c r="G953" s="42"/>
      <c r="J953" s="44" t="s">
        <v>187</v>
      </c>
      <c r="K953" s="35">
        <v>0</v>
      </c>
      <c r="L953" s="35">
        <v>0</v>
      </c>
      <c r="M953" s="35">
        <v>2.3E-3</v>
      </c>
      <c r="N953" s="21"/>
      <c r="Q953" s="22"/>
      <c r="R953" s="2"/>
      <c r="S953" s="2"/>
      <c r="T953" s="2"/>
      <c r="U953" s="34">
        <f t="shared" si="14"/>
        <v>2.3E-3</v>
      </c>
    </row>
    <row r="954" spans="1:21" x14ac:dyDescent="0.2">
      <c r="A954" s="18" t="s">
        <v>2777</v>
      </c>
      <c r="B954" s="19" t="s">
        <v>2777</v>
      </c>
      <c r="C954" s="19" t="s">
        <v>2778</v>
      </c>
      <c r="D954" s="20">
        <v>1.3437432222500001</v>
      </c>
      <c r="E954" s="20">
        <v>0.58167137175000005</v>
      </c>
      <c r="F954" s="1">
        <v>14.125357582399392</v>
      </c>
      <c r="G954" s="42"/>
      <c r="I954" s="49" t="s">
        <v>187</v>
      </c>
      <c r="J954" s="44"/>
      <c r="K954" s="35">
        <v>0</v>
      </c>
      <c r="L954" s="35">
        <v>0</v>
      </c>
      <c r="M954" s="35">
        <v>0.13589999999999999</v>
      </c>
      <c r="N954" s="21"/>
      <c r="O954" s="2" t="s">
        <v>187</v>
      </c>
      <c r="Q954" s="22"/>
      <c r="R954" s="2"/>
      <c r="S954" s="2"/>
      <c r="T954" s="2"/>
      <c r="U954" s="34">
        <f t="shared" si="14"/>
        <v>0.13589999999999999</v>
      </c>
    </row>
    <row r="955" spans="1:21" x14ac:dyDescent="0.2">
      <c r="A955" s="18" t="s">
        <v>2779</v>
      </c>
      <c r="B955" s="19" t="s">
        <v>2779</v>
      </c>
      <c r="C955" s="19" t="s">
        <v>2780</v>
      </c>
      <c r="D955" s="25">
        <v>9.8192882749999999</v>
      </c>
      <c r="E955" s="25">
        <v>5.8928762245000001</v>
      </c>
      <c r="F955" s="1">
        <v>2.7684931664180756</v>
      </c>
      <c r="G955" s="24" t="s">
        <v>187</v>
      </c>
      <c r="J955" s="44"/>
      <c r="K955" s="35">
        <v>0.55320000000000003</v>
      </c>
      <c r="L955" s="35">
        <v>2.9999999999999997E-4</v>
      </c>
      <c r="M955" s="35">
        <v>0</v>
      </c>
      <c r="N955" s="21"/>
      <c r="Q955" s="22" t="s">
        <v>187</v>
      </c>
      <c r="R955" s="2"/>
      <c r="S955" s="2"/>
      <c r="T955" s="2"/>
      <c r="U955" s="34">
        <f t="shared" si="14"/>
        <v>0.55320000000000003</v>
      </c>
    </row>
    <row r="956" spans="1:21" x14ac:dyDescent="0.2">
      <c r="A956" s="18" t="s">
        <v>2781</v>
      </c>
      <c r="B956" s="19" t="s">
        <v>2781</v>
      </c>
      <c r="C956" s="19" t="s">
        <v>2782</v>
      </c>
      <c r="D956" s="1">
        <v>4.4148159505000004</v>
      </c>
      <c r="E956" s="1">
        <v>8.7922990255000002</v>
      </c>
      <c r="F956" s="1">
        <v>2.9168053003342385</v>
      </c>
      <c r="G956" s="42" t="s">
        <v>187</v>
      </c>
      <c r="J956" s="44"/>
      <c r="K956" s="35">
        <v>0.79459999999999997</v>
      </c>
      <c r="L956" s="35">
        <v>7.3800000000000004E-2</v>
      </c>
      <c r="M956" s="35">
        <v>0</v>
      </c>
      <c r="N956" s="21"/>
      <c r="Q956" s="22" t="s">
        <v>187</v>
      </c>
      <c r="R956" s="2"/>
      <c r="S956" s="2"/>
      <c r="T956" s="2"/>
      <c r="U956" s="34">
        <f t="shared" si="14"/>
        <v>0.79459999999999997</v>
      </c>
    </row>
    <row r="957" spans="1:21" x14ac:dyDescent="0.2">
      <c r="A957" s="18" t="s">
        <v>2783</v>
      </c>
      <c r="B957" s="19" t="s">
        <v>2783</v>
      </c>
      <c r="C957" s="19" t="s">
        <v>2784</v>
      </c>
      <c r="D957" s="23" t="s">
        <v>46</v>
      </c>
      <c r="E957" s="20">
        <v>0.15573000000000001</v>
      </c>
      <c r="F957" s="1">
        <v>0</v>
      </c>
      <c r="G957" s="42"/>
      <c r="I957" s="49" t="s">
        <v>187</v>
      </c>
      <c r="J957" s="44"/>
      <c r="K957" s="35" t="e">
        <v>#N/A</v>
      </c>
      <c r="L957" s="35" t="e">
        <v>#N/A</v>
      </c>
      <c r="M957" s="35" t="e">
        <v>#N/A</v>
      </c>
      <c r="N957" s="21"/>
      <c r="O957" s="2" t="s">
        <v>187</v>
      </c>
      <c r="Q957" s="22"/>
      <c r="R957" s="2"/>
      <c r="S957" s="2"/>
      <c r="T957" s="2"/>
      <c r="U957" s="34" t="e">
        <f t="shared" si="14"/>
        <v>#N/A</v>
      </c>
    </row>
    <row r="958" spans="1:21" x14ac:dyDescent="0.2">
      <c r="A958" s="18" t="s">
        <v>2785</v>
      </c>
      <c r="B958" s="19" t="s">
        <v>2785</v>
      </c>
      <c r="C958" s="19" t="s">
        <v>2786</v>
      </c>
      <c r="D958" s="20">
        <v>3.5261847037500003</v>
      </c>
      <c r="E958" s="20">
        <v>2.8144613414999999</v>
      </c>
      <c r="F958" s="1">
        <v>1.4891902208547654</v>
      </c>
      <c r="G958" s="42"/>
      <c r="J958" s="44" t="s">
        <v>187</v>
      </c>
      <c r="K958" s="35">
        <v>4.0000000000000002E-4</v>
      </c>
      <c r="L958" s="35">
        <v>1.1000000000000001E-3</v>
      </c>
      <c r="M958" s="35">
        <v>0</v>
      </c>
      <c r="N958" s="21"/>
      <c r="Q958" s="22"/>
      <c r="R958" s="2"/>
      <c r="S958" s="2"/>
      <c r="T958" s="2"/>
      <c r="U958" s="34">
        <f t="shared" si="14"/>
        <v>1.1000000000000001E-3</v>
      </c>
    </row>
    <row r="959" spans="1:21" x14ac:dyDescent="0.2">
      <c r="A959" s="18" t="s">
        <v>2407</v>
      </c>
      <c r="B959" s="19" t="s">
        <v>2407</v>
      </c>
      <c r="C959" s="19" t="s">
        <v>2787</v>
      </c>
      <c r="D959" s="20">
        <v>0.36355406850000005</v>
      </c>
      <c r="E959" s="20">
        <v>0.19928999999999999</v>
      </c>
      <c r="F959" s="1">
        <v>9.2415903331637814</v>
      </c>
      <c r="G959" s="42"/>
      <c r="I959" s="43" t="s">
        <v>187</v>
      </c>
      <c r="J959" s="44"/>
      <c r="K959" s="35">
        <v>0</v>
      </c>
      <c r="L959" s="35">
        <v>0</v>
      </c>
      <c r="M959" s="35">
        <v>0.96899999999999997</v>
      </c>
      <c r="N959" s="21" t="s">
        <v>187</v>
      </c>
      <c r="Q959" s="22"/>
      <c r="R959" s="2"/>
      <c r="S959" s="2"/>
      <c r="T959" s="2"/>
      <c r="U959" s="34">
        <f t="shared" si="14"/>
        <v>0.96899999999999997</v>
      </c>
    </row>
    <row r="960" spans="1:21" x14ac:dyDescent="0.2">
      <c r="A960" s="18" t="s">
        <v>2788</v>
      </c>
      <c r="B960" s="19" t="s">
        <v>2788</v>
      </c>
      <c r="C960" s="19" t="s">
        <v>2789</v>
      </c>
      <c r="D960" s="20">
        <v>2.9253532140000003</v>
      </c>
      <c r="E960" s="20">
        <v>8.2097068799999988</v>
      </c>
      <c r="F960" s="1">
        <v>73.932722665435634</v>
      </c>
      <c r="G960" s="24" t="s">
        <v>187</v>
      </c>
      <c r="J960" s="44"/>
      <c r="K960" s="35">
        <v>0.31109999999999999</v>
      </c>
      <c r="L960" s="35">
        <v>0.4662</v>
      </c>
      <c r="M960" s="35">
        <v>0</v>
      </c>
      <c r="N960" s="21"/>
      <c r="Q960" s="22" t="s">
        <v>187</v>
      </c>
      <c r="R960" s="2"/>
      <c r="S960" s="2"/>
      <c r="T960" s="2"/>
      <c r="U960" s="34">
        <f t="shared" si="14"/>
        <v>0.4662</v>
      </c>
    </row>
    <row r="961" spans="1:21" x14ac:dyDescent="0.2">
      <c r="A961" s="18" t="s">
        <v>2715</v>
      </c>
      <c r="B961" s="19" t="s">
        <v>2715</v>
      </c>
      <c r="C961" s="19" t="s">
        <v>637</v>
      </c>
      <c r="D961" s="20">
        <v>0.27545776799999999</v>
      </c>
      <c r="E961" s="20">
        <v>0.361796654</v>
      </c>
      <c r="F961" s="1">
        <v>4.8570055551192502E-2</v>
      </c>
      <c r="G961" s="42"/>
      <c r="I961" s="43" t="s">
        <v>187</v>
      </c>
      <c r="J961" s="44"/>
      <c r="K961" s="35">
        <v>0</v>
      </c>
      <c r="L961" s="35">
        <v>0</v>
      </c>
      <c r="M961" s="35">
        <v>0.96709999999999996</v>
      </c>
      <c r="N961" s="21"/>
      <c r="O961" s="2" t="s">
        <v>187</v>
      </c>
      <c r="Q961" s="22"/>
      <c r="R961" s="2"/>
      <c r="S961" s="2"/>
      <c r="T961" s="2"/>
      <c r="U961" s="34">
        <f t="shared" si="14"/>
        <v>0.96709999999999996</v>
      </c>
    </row>
    <row r="962" spans="1:21" x14ac:dyDescent="0.2">
      <c r="A962" s="18" t="s">
        <v>2790</v>
      </c>
      <c r="B962" s="19" t="s">
        <v>2790</v>
      </c>
      <c r="C962" s="19" t="s">
        <v>2791</v>
      </c>
      <c r="D962" s="20">
        <v>1.8164479729999998</v>
      </c>
      <c r="E962" s="20">
        <v>1.9340725905</v>
      </c>
      <c r="F962" s="1">
        <v>0</v>
      </c>
      <c r="G962" s="42"/>
      <c r="J962" s="44" t="s">
        <v>187</v>
      </c>
      <c r="K962" s="35">
        <v>0</v>
      </c>
      <c r="L962" s="35">
        <v>1.8E-3</v>
      </c>
      <c r="M962" s="35">
        <v>7.3000000000000001E-3</v>
      </c>
      <c r="N962" s="21"/>
      <c r="Q962" s="22"/>
      <c r="R962" s="2"/>
      <c r="S962" s="2"/>
      <c r="T962" s="2"/>
      <c r="U962" s="34">
        <f t="shared" ref="U962:U988" si="15">MAX(K962:M962)</f>
        <v>7.3000000000000001E-3</v>
      </c>
    </row>
    <row r="963" spans="1:21" x14ac:dyDescent="0.2">
      <c r="A963" s="18" t="s">
        <v>2412</v>
      </c>
      <c r="B963" s="19" t="s">
        <v>2792</v>
      </c>
      <c r="C963" s="19" t="s">
        <v>2793</v>
      </c>
      <c r="D963" s="20">
        <v>0.27936944850000001</v>
      </c>
      <c r="E963" s="20">
        <v>0.59543300924999998</v>
      </c>
      <c r="F963" s="1">
        <v>1.6529673766645423</v>
      </c>
      <c r="G963" s="42"/>
      <c r="I963" s="43" t="s">
        <v>187</v>
      </c>
      <c r="J963" s="44"/>
      <c r="K963" s="35">
        <v>0</v>
      </c>
      <c r="L963" s="35">
        <v>0</v>
      </c>
      <c r="M963" s="35">
        <v>0.95699999999999996</v>
      </c>
      <c r="N963" s="21" t="s">
        <v>187</v>
      </c>
      <c r="Q963" s="22"/>
      <c r="R963" s="2"/>
      <c r="S963" s="2"/>
      <c r="T963" s="2"/>
      <c r="U963" s="34">
        <f t="shared" si="15"/>
        <v>0.95699999999999996</v>
      </c>
    </row>
    <row r="964" spans="1:21" x14ac:dyDescent="0.2">
      <c r="A964" s="18" t="s">
        <v>2794</v>
      </c>
      <c r="B964" s="19" t="s">
        <v>2794</v>
      </c>
      <c r="C964" s="19" t="s">
        <v>2795</v>
      </c>
      <c r="D964" s="20">
        <v>0.47015717699999998</v>
      </c>
      <c r="E964" s="20">
        <v>10.0874729825</v>
      </c>
      <c r="F964" s="1">
        <v>2.0302283220431709</v>
      </c>
      <c r="G964" s="42"/>
      <c r="H964" s="43" t="s">
        <v>187</v>
      </c>
      <c r="J964" s="44"/>
      <c r="K964" s="35">
        <v>0</v>
      </c>
      <c r="L964" s="35">
        <v>0.96120000000000005</v>
      </c>
      <c r="M964" s="35">
        <v>4.7999999999999996E-3</v>
      </c>
      <c r="N964" s="21"/>
      <c r="O964" s="2" t="s">
        <v>187</v>
      </c>
      <c r="Q964" s="22"/>
      <c r="R964" s="2"/>
      <c r="S964" s="2"/>
      <c r="T964" s="2"/>
      <c r="U964" s="34">
        <f t="shared" si="15"/>
        <v>0.96120000000000005</v>
      </c>
    </row>
    <row r="965" spans="1:21" x14ac:dyDescent="0.2">
      <c r="A965" s="18" t="s">
        <v>2796</v>
      </c>
      <c r="B965" s="19" t="s">
        <v>2796</v>
      </c>
      <c r="C965" s="19" t="s">
        <v>2797</v>
      </c>
      <c r="D965" s="20">
        <v>1.39266520325</v>
      </c>
      <c r="E965" s="20">
        <v>5.7942979447499994</v>
      </c>
      <c r="F965" s="1">
        <v>0.37352685578635086</v>
      </c>
      <c r="G965" s="42"/>
      <c r="H965" s="43" t="s">
        <v>187</v>
      </c>
      <c r="J965" s="44"/>
      <c r="K965" s="35">
        <v>1.2999999999999999E-3</v>
      </c>
      <c r="L965" s="35">
        <v>0.82599999999999996</v>
      </c>
      <c r="M965" s="35">
        <v>1.8E-3</v>
      </c>
      <c r="N965" s="21"/>
      <c r="O965" s="2" t="s">
        <v>187</v>
      </c>
      <c r="Q965" s="22"/>
      <c r="R965" s="2"/>
      <c r="S965" s="2"/>
      <c r="T965" s="2"/>
      <c r="U965" s="34">
        <f t="shared" si="15"/>
        <v>0.82599999999999996</v>
      </c>
    </row>
    <row r="966" spans="1:21" x14ac:dyDescent="0.2">
      <c r="A966" s="18" t="s">
        <v>2798</v>
      </c>
      <c r="B966" s="19" t="s">
        <v>2799</v>
      </c>
      <c r="C966" s="19" t="s">
        <v>2800</v>
      </c>
      <c r="D966" s="20">
        <v>1.0331193805000001</v>
      </c>
      <c r="E966" s="20">
        <v>0.19588</v>
      </c>
      <c r="F966" s="1">
        <v>0.41216848872631767</v>
      </c>
      <c r="G966" s="42"/>
      <c r="H966" s="43" t="s">
        <v>187</v>
      </c>
      <c r="J966" s="44"/>
      <c r="K966" s="35">
        <v>0</v>
      </c>
      <c r="L966" s="35">
        <v>0</v>
      </c>
      <c r="M966" s="35">
        <v>0.42559999999999998</v>
      </c>
      <c r="N966" s="21"/>
      <c r="O966" s="2" t="s">
        <v>187</v>
      </c>
      <c r="Q966" s="22"/>
      <c r="R966" s="2"/>
      <c r="S966" s="2"/>
      <c r="T966" s="2"/>
      <c r="U966" s="34">
        <f t="shared" si="15"/>
        <v>0.42559999999999998</v>
      </c>
    </row>
    <row r="967" spans="1:21" x14ac:dyDescent="0.2">
      <c r="A967" s="18" t="s">
        <v>2801</v>
      </c>
      <c r="B967" s="19" t="s">
        <v>2801</v>
      </c>
      <c r="C967" s="19" t="s">
        <v>2802</v>
      </c>
      <c r="D967" s="20">
        <v>0.64659236075000004</v>
      </c>
      <c r="E967" s="20">
        <v>17.591212174999999</v>
      </c>
      <c r="F967" s="1">
        <v>0</v>
      </c>
      <c r="G967" s="42"/>
      <c r="H967" s="43" t="s">
        <v>187</v>
      </c>
      <c r="J967" s="44"/>
      <c r="K967" s="35">
        <v>0</v>
      </c>
      <c r="L967" s="35">
        <v>0.95840000000000003</v>
      </c>
      <c r="M967" s="35">
        <v>6.9999999999999999E-4</v>
      </c>
      <c r="N967" s="21"/>
      <c r="O967" s="2" t="s">
        <v>187</v>
      </c>
      <c r="Q967" s="22"/>
      <c r="R967" s="2"/>
      <c r="S967" s="2"/>
      <c r="T967" s="2"/>
      <c r="U967" s="34">
        <f t="shared" si="15"/>
        <v>0.95840000000000003</v>
      </c>
    </row>
    <row r="968" spans="1:21" x14ac:dyDescent="0.2">
      <c r="A968" s="18" t="s">
        <v>2803</v>
      </c>
      <c r="B968" s="19" t="s">
        <v>2803</v>
      </c>
      <c r="C968" s="19" t="s">
        <v>2804</v>
      </c>
      <c r="D968" s="20">
        <v>1.1329734643333333</v>
      </c>
      <c r="E968" s="20">
        <v>8.0467999999999993</v>
      </c>
      <c r="F968" s="1">
        <v>1.8032371381788603</v>
      </c>
      <c r="G968" s="42"/>
      <c r="H968" s="43" t="s">
        <v>187</v>
      </c>
      <c r="J968" s="44"/>
      <c r="K968" s="35">
        <v>5.9999999999999995E-4</v>
      </c>
      <c r="L968" s="35">
        <v>0.95040000000000002</v>
      </c>
      <c r="M968" s="35">
        <v>8.9999999999999998E-4</v>
      </c>
      <c r="N968" s="21"/>
      <c r="O968" s="2" t="s">
        <v>187</v>
      </c>
      <c r="Q968" s="22"/>
      <c r="R968" s="2"/>
      <c r="S968" s="2"/>
      <c r="T968" s="2"/>
      <c r="U968" s="34">
        <f t="shared" si="15"/>
        <v>0.95040000000000002</v>
      </c>
    </row>
    <row r="969" spans="1:21" x14ac:dyDescent="0.2">
      <c r="A969" s="18" t="s">
        <v>2805</v>
      </c>
      <c r="B969" s="19" t="s">
        <v>2805</v>
      </c>
      <c r="C969" s="19" t="s">
        <v>2806</v>
      </c>
      <c r="D969" s="20">
        <v>7.8007283363333331</v>
      </c>
      <c r="E969" s="20">
        <v>7.2468829799999996</v>
      </c>
      <c r="F969" s="1">
        <v>0.32958251981166409</v>
      </c>
      <c r="G969" s="42" t="s">
        <v>187</v>
      </c>
      <c r="J969" s="44"/>
      <c r="K969" s="35">
        <v>0.82699999999999996</v>
      </c>
      <c r="L969" s="35">
        <v>1.8E-3</v>
      </c>
      <c r="M969" s="35">
        <v>0</v>
      </c>
      <c r="N969" s="21"/>
      <c r="Q969" s="22" t="s">
        <v>187</v>
      </c>
      <c r="R969" s="2"/>
      <c r="S969" s="2"/>
      <c r="T969" s="2"/>
      <c r="U969" s="34">
        <f t="shared" si="15"/>
        <v>0.82699999999999996</v>
      </c>
    </row>
    <row r="970" spans="1:21" x14ac:dyDescent="0.2">
      <c r="A970" s="18" t="s">
        <v>2122</v>
      </c>
      <c r="B970" s="19" t="s">
        <v>2122</v>
      </c>
      <c r="C970" s="19" t="s">
        <v>637</v>
      </c>
      <c r="D970" s="20">
        <v>0.23208999999999999</v>
      </c>
      <c r="E970" s="20">
        <v>0.24927357950000001</v>
      </c>
      <c r="F970" s="1">
        <v>8.7610543241029806E-2</v>
      </c>
      <c r="G970" s="42"/>
      <c r="I970" s="43" t="s">
        <v>187</v>
      </c>
      <c r="J970" s="44"/>
      <c r="K970" s="35">
        <v>0</v>
      </c>
      <c r="L970" s="35">
        <v>0</v>
      </c>
      <c r="M970" s="35">
        <v>0.96360000000000001</v>
      </c>
      <c r="N970" s="21"/>
      <c r="O970" s="2" t="s">
        <v>187</v>
      </c>
      <c r="Q970" s="22"/>
      <c r="R970" s="2"/>
      <c r="S970" s="2"/>
      <c r="T970" s="2"/>
      <c r="U970" s="34">
        <f t="shared" si="15"/>
        <v>0.96360000000000001</v>
      </c>
    </row>
    <row r="971" spans="1:21" x14ac:dyDescent="0.2">
      <c r="A971" s="18" t="s">
        <v>1336</v>
      </c>
      <c r="B971" s="19" t="s">
        <v>1336</v>
      </c>
      <c r="C971" s="19" t="s">
        <v>2807</v>
      </c>
      <c r="D971" s="20">
        <v>0.28237922433333335</v>
      </c>
      <c r="E971" s="20">
        <v>0.390937329</v>
      </c>
      <c r="F971" s="1">
        <v>0</v>
      </c>
      <c r="G971" s="42"/>
      <c r="I971" s="43" t="s">
        <v>187</v>
      </c>
      <c r="J971" s="44"/>
      <c r="K971" s="35">
        <v>0</v>
      </c>
      <c r="L971" s="35">
        <v>0</v>
      </c>
      <c r="M971" s="35">
        <v>0.9667</v>
      </c>
      <c r="N971" s="21"/>
      <c r="O971" s="2" t="s">
        <v>187</v>
      </c>
      <c r="Q971" s="22"/>
      <c r="R971" s="2"/>
      <c r="S971" s="2"/>
      <c r="T971" s="2"/>
      <c r="U971" s="34">
        <f t="shared" si="15"/>
        <v>0.9667</v>
      </c>
    </row>
    <row r="972" spans="1:21" x14ac:dyDescent="0.2">
      <c r="A972" s="18" t="s">
        <v>1670</v>
      </c>
      <c r="B972" s="19" t="s">
        <v>1670</v>
      </c>
      <c r="C972" s="19" t="s">
        <v>2808</v>
      </c>
      <c r="D972" s="20">
        <v>0.32672195199999998</v>
      </c>
      <c r="E972" s="20">
        <v>0.47780165750000003</v>
      </c>
      <c r="F972" s="1">
        <v>0.70561453233090876</v>
      </c>
      <c r="G972" s="42"/>
      <c r="I972" s="43" t="s">
        <v>187</v>
      </c>
      <c r="J972" s="44"/>
      <c r="K972" s="35">
        <v>0</v>
      </c>
      <c r="L972" s="35">
        <v>0</v>
      </c>
      <c r="M972" s="35">
        <v>0.96530000000000005</v>
      </c>
      <c r="N972" s="21"/>
      <c r="O972" s="2" t="s">
        <v>187</v>
      </c>
      <c r="Q972" s="22"/>
      <c r="R972" s="2"/>
      <c r="S972" s="2"/>
      <c r="T972" s="2"/>
      <c r="U972" s="34">
        <f t="shared" si="15"/>
        <v>0.96530000000000005</v>
      </c>
    </row>
    <row r="973" spans="1:21" x14ac:dyDescent="0.2">
      <c r="A973" s="18" t="s">
        <v>2809</v>
      </c>
      <c r="B973" s="19" t="s">
        <v>2809</v>
      </c>
      <c r="C973" s="19" t="s">
        <v>2810</v>
      </c>
      <c r="D973" s="20">
        <v>0.7523099245</v>
      </c>
      <c r="E973" s="20">
        <v>22.247013279999997</v>
      </c>
      <c r="F973" s="1">
        <v>0.1986617186133596</v>
      </c>
      <c r="G973" s="42"/>
      <c r="H973" s="43" t="s">
        <v>187</v>
      </c>
      <c r="J973" s="44"/>
      <c r="K973" s="35">
        <v>1E-4</v>
      </c>
      <c r="L973" s="35">
        <v>0.94589999999999996</v>
      </c>
      <c r="M973" s="35">
        <v>2.9999999999999997E-4</v>
      </c>
      <c r="N973" s="21"/>
      <c r="O973" s="2" t="s">
        <v>187</v>
      </c>
      <c r="Q973" s="22"/>
      <c r="R973" s="2"/>
      <c r="S973" s="2"/>
      <c r="T973" s="2"/>
      <c r="U973" s="34">
        <f t="shared" si="15"/>
        <v>0.94589999999999996</v>
      </c>
    </row>
    <row r="974" spans="1:21" x14ac:dyDescent="0.2">
      <c r="A974" s="18" t="s">
        <v>1955</v>
      </c>
      <c r="B974" s="19" t="s">
        <v>1955</v>
      </c>
      <c r="C974" s="19" t="s">
        <v>2811</v>
      </c>
      <c r="D974" s="20">
        <v>0.21821544900000003</v>
      </c>
      <c r="E974" s="20">
        <v>0.32983595199999999</v>
      </c>
      <c r="F974" s="1">
        <v>0</v>
      </c>
      <c r="G974" s="42"/>
      <c r="I974" s="43" t="s">
        <v>187</v>
      </c>
      <c r="J974" s="44"/>
      <c r="K974" s="35">
        <v>0</v>
      </c>
      <c r="L974" s="35">
        <v>0</v>
      </c>
      <c r="M974" s="35">
        <v>0.95630000000000004</v>
      </c>
      <c r="N974" s="21"/>
      <c r="O974" s="2" t="s">
        <v>187</v>
      </c>
      <c r="Q974" s="22"/>
      <c r="R974" s="2"/>
      <c r="S974" s="2"/>
      <c r="T974" s="2"/>
      <c r="U974" s="34">
        <f t="shared" si="15"/>
        <v>0.95630000000000004</v>
      </c>
    </row>
    <row r="975" spans="1:21" x14ac:dyDescent="0.2">
      <c r="A975" s="18" t="s">
        <v>2570</v>
      </c>
      <c r="B975" s="19" t="s">
        <v>2570</v>
      </c>
      <c r="C975" s="19" t="s">
        <v>2653</v>
      </c>
      <c r="D975" s="20">
        <v>0.21466597199999998</v>
      </c>
      <c r="E975" s="20">
        <v>0.11266384299999999</v>
      </c>
      <c r="F975" s="1">
        <v>0.38758904329871358</v>
      </c>
      <c r="G975" s="42"/>
      <c r="I975" s="43" t="s">
        <v>187</v>
      </c>
      <c r="J975" s="44"/>
      <c r="K975" s="35">
        <v>0</v>
      </c>
      <c r="L975" s="35">
        <v>0</v>
      </c>
      <c r="M975" s="35">
        <v>0.95430000000000004</v>
      </c>
      <c r="N975" s="21" t="s">
        <v>187</v>
      </c>
      <c r="Q975" s="22"/>
      <c r="R975" s="2"/>
      <c r="S975" s="2"/>
      <c r="T975" s="2"/>
      <c r="U975" s="34">
        <f t="shared" si="15"/>
        <v>0.95430000000000004</v>
      </c>
    </row>
    <row r="976" spans="1:21" x14ac:dyDescent="0.2">
      <c r="A976" s="18" t="s">
        <v>2812</v>
      </c>
      <c r="B976" s="19" t="s">
        <v>2813</v>
      </c>
      <c r="C976" s="19" t="s">
        <v>2814</v>
      </c>
      <c r="D976" s="20">
        <v>6.8276565706666661</v>
      </c>
      <c r="E976" s="20">
        <v>12.306850200666666</v>
      </c>
      <c r="F976" s="1">
        <v>1.2622659967246723</v>
      </c>
      <c r="G976" s="42" t="s">
        <v>187</v>
      </c>
      <c r="J976" s="44"/>
      <c r="K976" s="35">
        <v>0.96599999999999997</v>
      </c>
      <c r="L976" s="35">
        <v>8.3000000000000001E-3</v>
      </c>
      <c r="M976" s="35">
        <v>0</v>
      </c>
      <c r="N976" s="21"/>
      <c r="Q976" s="22" t="s">
        <v>187</v>
      </c>
      <c r="R976" s="2"/>
      <c r="S976" s="2"/>
      <c r="T976" s="2"/>
      <c r="U976" s="34">
        <f t="shared" si="15"/>
        <v>0.96599999999999997</v>
      </c>
    </row>
    <row r="977" spans="1:21" x14ac:dyDescent="0.2">
      <c r="A977" s="18" t="s">
        <v>2707</v>
      </c>
      <c r="B977" s="19" t="s">
        <v>2815</v>
      </c>
      <c r="C977" s="19" t="s">
        <v>2816</v>
      </c>
      <c r="D977" s="20">
        <v>0.23464068500000002</v>
      </c>
      <c r="E977" s="20">
        <v>0.18473716900000001</v>
      </c>
      <c r="F977" s="1">
        <v>5.0506294252229536</v>
      </c>
      <c r="G977" s="42"/>
      <c r="I977" s="43" t="s">
        <v>187</v>
      </c>
      <c r="J977" s="44"/>
      <c r="K977" s="35">
        <v>0</v>
      </c>
      <c r="L977" s="35">
        <v>0</v>
      </c>
      <c r="M977" s="35">
        <v>0.96460000000000001</v>
      </c>
      <c r="N977" s="21" t="s">
        <v>187</v>
      </c>
      <c r="Q977" s="22"/>
      <c r="R977" s="2"/>
      <c r="S977" s="2"/>
      <c r="T977" s="2"/>
      <c r="U977" s="34">
        <f t="shared" si="15"/>
        <v>0.96460000000000001</v>
      </c>
    </row>
    <row r="978" spans="1:21" x14ac:dyDescent="0.2">
      <c r="A978" s="18" t="s">
        <v>2439</v>
      </c>
      <c r="B978" s="19" t="s">
        <v>2817</v>
      </c>
      <c r="C978" s="19" t="s">
        <v>2818</v>
      </c>
      <c r="D978" s="20">
        <v>0.28605765750000001</v>
      </c>
      <c r="E978" s="20">
        <v>0.24239413433333334</v>
      </c>
      <c r="F978" s="1">
        <v>1.3842465832091817</v>
      </c>
      <c r="G978" s="42"/>
      <c r="I978" s="43" t="s">
        <v>187</v>
      </c>
      <c r="J978" s="44"/>
      <c r="K978" s="35">
        <v>0</v>
      </c>
      <c r="L978" s="35">
        <v>0</v>
      </c>
      <c r="M978" s="35">
        <v>0.97060000000000002</v>
      </c>
      <c r="N978" s="21" t="s">
        <v>187</v>
      </c>
      <c r="Q978" s="22"/>
      <c r="R978" s="2"/>
      <c r="S978" s="2"/>
      <c r="T978" s="2"/>
      <c r="U978" s="34">
        <f t="shared" si="15"/>
        <v>0.97060000000000002</v>
      </c>
    </row>
    <row r="979" spans="1:21" x14ac:dyDescent="0.2">
      <c r="A979" s="18" t="s">
        <v>2360</v>
      </c>
      <c r="B979" s="19" t="s">
        <v>2819</v>
      </c>
      <c r="C979" s="19" t="s">
        <v>2820</v>
      </c>
      <c r="D979" s="20">
        <v>0.16598803849999999</v>
      </c>
      <c r="E979" s="20">
        <v>0.12225299649999999</v>
      </c>
      <c r="F979" s="1">
        <v>1.1267123351702619</v>
      </c>
      <c r="G979" s="42"/>
      <c r="I979" s="43" t="s">
        <v>187</v>
      </c>
      <c r="J979" s="44"/>
      <c r="K979" s="35">
        <v>0</v>
      </c>
      <c r="L979" s="35">
        <v>0</v>
      </c>
      <c r="M979" s="35">
        <v>0.92090000000000005</v>
      </c>
      <c r="N979" s="21" t="s">
        <v>187</v>
      </c>
      <c r="Q979" s="22"/>
      <c r="R979" s="2"/>
      <c r="S979" s="2"/>
      <c r="T979" s="2"/>
      <c r="U979" s="34">
        <f t="shared" si="15"/>
        <v>0.92090000000000005</v>
      </c>
    </row>
    <row r="980" spans="1:21" x14ac:dyDescent="0.2">
      <c r="A980" s="18" t="s">
        <v>2442</v>
      </c>
      <c r="B980" s="19" t="s">
        <v>2821</v>
      </c>
      <c r="C980" s="19" t="s">
        <v>2822</v>
      </c>
      <c r="D980" s="20">
        <v>0.30635325000000002</v>
      </c>
      <c r="E980" s="20">
        <v>0.31978000000000001</v>
      </c>
      <c r="F980" s="1">
        <v>2.1037766612088649</v>
      </c>
      <c r="G980" s="42"/>
      <c r="I980" s="43" t="s">
        <v>187</v>
      </c>
      <c r="J980" s="44"/>
      <c r="K980" s="35">
        <v>0</v>
      </c>
      <c r="L980" s="35">
        <v>0</v>
      </c>
      <c r="M980" s="35">
        <v>0.97009999999999996</v>
      </c>
      <c r="N980" s="21" t="s">
        <v>187</v>
      </c>
      <c r="Q980" s="22"/>
      <c r="R980" s="2"/>
      <c r="S980" s="2"/>
      <c r="T980" s="2"/>
      <c r="U980" s="34">
        <f t="shared" si="15"/>
        <v>0.97009999999999996</v>
      </c>
    </row>
    <row r="981" spans="1:21" x14ac:dyDescent="0.2">
      <c r="A981" s="18" t="s">
        <v>2422</v>
      </c>
      <c r="B981" s="19" t="s">
        <v>2823</v>
      </c>
      <c r="C981" s="19" t="s">
        <v>2824</v>
      </c>
      <c r="D981" s="20">
        <v>0.28215997249999997</v>
      </c>
      <c r="E981" s="20">
        <v>0.34267617900000003</v>
      </c>
      <c r="F981" s="1">
        <v>3.4970439996865639</v>
      </c>
      <c r="G981" s="42"/>
      <c r="I981" s="43" t="s">
        <v>187</v>
      </c>
      <c r="J981" s="44"/>
      <c r="K981" s="35">
        <v>0</v>
      </c>
      <c r="L981" s="35">
        <v>0</v>
      </c>
      <c r="M981" s="35">
        <v>0.96830000000000005</v>
      </c>
      <c r="N981" s="21" t="s">
        <v>187</v>
      </c>
      <c r="Q981" s="22"/>
      <c r="R981" s="2"/>
      <c r="S981" s="2"/>
      <c r="T981" s="2"/>
      <c r="U981" s="34">
        <f t="shared" si="15"/>
        <v>0.96830000000000005</v>
      </c>
    </row>
    <row r="982" spans="1:21" x14ac:dyDescent="0.2">
      <c r="A982" s="18" t="s">
        <v>1621</v>
      </c>
      <c r="B982" s="19" t="s">
        <v>2825</v>
      </c>
      <c r="C982" s="19" t="s">
        <v>2826</v>
      </c>
      <c r="D982" s="20">
        <v>0.18384291699999999</v>
      </c>
      <c r="E982" s="20">
        <v>0.35137822749999997</v>
      </c>
      <c r="F982" s="1">
        <v>0.82465753893283522</v>
      </c>
      <c r="G982" s="42"/>
      <c r="I982" s="43" t="s">
        <v>187</v>
      </c>
      <c r="J982" s="44"/>
      <c r="K982" s="35">
        <v>0</v>
      </c>
      <c r="L982" s="35">
        <v>0</v>
      </c>
      <c r="M982" s="35">
        <v>0.93279999999999996</v>
      </c>
      <c r="N982" s="21"/>
      <c r="O982" s="2" t="s">
        <v>187</v>
      </c>
      <c r="Q982" s="22"/>
      <c r="R982" s="2"/>
      <c r="S982" s="2"/>
      <c r="T982" s="2"/>
      <c r="U982" s="34">
        <f t="shared" si="15"/>
        <v>0.93279999999999996</v>
      </c>
    </row>
    <row r="983" spans="1:21" x14ac:dyDescent="0.2">
      <c r="A983" s="18" t="s">
        <v>2827</v>
      </c>
      <c r="B983" s="19" t="s">
        <v>2828</v>
      </c>
      <c r="C983" s="19" t="s">
        <v>2829</v>
      </c>
      <c r="D983" s="20">
        <v>10.6481086325</v>
      </c>
      <c r="E983" s="20">
        <v>18.63055057</v>
      </c>
      <c r="F983" s="1">
        <v>4.9217656291879051</v>
      </c>
      <c r="G983" s="42" t="s">
        <v>187</v>
      </c>
      <c r="J983" s="44"/>
      <c r="K983" s="35">
        <v>0.98450000000000004</v>
      </c>
      <c r="L983" s="35">
        <v>2.2000000000000001E-3</v>
      </c>
      <c r="M983" s="35">
        <v>0</v>
      </c>
      <c r="N983" s="21"/>
      <c r="Q983" s="22" t="s">
        <v>187</v>
      </c>
      <c r="R983" s="2"/>
      <c r="S983" s="2"/>
      <c r="T983" s="2"/>
      <c r="U983" s="34">
        <f t="shared" si="15"/>
        <v>0.98450000000000004</v>
      </c>
    </row>
    <row r="984" spans="1:21" x14ac:dyDescent="0.2">
      <c r="A984" s="18" t="s">
        <v>2465</v>
      </c>
      <c r="B984" s="19" t="s">
        <v>2830</v>
      </c>
      <c r="C984" s="19" t="s">
        <v>2831</v>
      </c>
      <c r="D984" s="20">
        <v>0.32308075824999999</v>
      </c>
      <c r="E984" s="20">
        <v>0.14740037049999999</v>
      </c>
      <c r="F984" s="1">
        <v>0.15730074809188432</v>
      </c>
      <c r="G984" s="42"/>
      <c r="I984" s="43" t="s">
        <v>187</v>
      </c>
      <c r="J984" s="44"/>
      <c r="K984" s="35">
        <v>0</v>
      </c>
      <c r="L984" s="35">
        <v>0</v>
      </c>
      <c r="M984" s="35">
        <v>0.96850000000000003</v>
      </c>
      <c r="N984" s="21" t="s">
        <v>187</v>
      </c>
      <c r="Q984" s="22"/>
      <c r="R984" s="2"/>
      <c r="S984" s="2"/>
      <c r="T984" s="2"/>
      <c r="U984" s="34">
        <f t="shared" si="15"/>
        <v>0.96850000000000003</v>
      </c>
    </row>
    <row r="985" spans="1:21" x14ac:dyDescent="0.2">
      <c r="A985" s="18" t="s">
        <v>2712</v>
      </c>
      <c r="B985" s="19" t="s">
        <v>2832</v>
      </c>
      <c r="C985" s="19" t="s">
        <v>2833</v>
      </c>
      <c r="D985" s="20">
        <v>0.29846454875</v>
      </c>
      <c r="E985" s="20">
        <v>0.19818759975</v>
      </c>
      <c r="F985" s="1">
        <v>0.52684011748968484</v>
      </c>
      <c r="G985" s="42"/>
      <c r="I985" s="43" t="s">
        <v>187</v>
      </c>
      <c r="J985" s="44"/>
      <c r="K985" s="35">
        <v>0</v>
      </c>
      <c r="L985" s="35">
        <v>0</v>
      </c>
      <c r="M985" s="35">
        <v>0.97089999999999999</v>
      </c>
      <c r="N985" s="21"/>
      <c r="O985" s="2" t="s">
        <v>187</v>
      </c>
      <c r="Q985" s="22"/>
      <c r="R985" s="2"/>
      <c r="S985" s="2"/>
      <c r="T985" s="2"/>
      <c r="U985" s="34">
        <f t="shared" si="15"/>
        <v>0.97089999999999999</v>
      </c>
    </row>
    <row r="986" spans="1:21" x14ac:dyDescent="0.2">
      <c r="A986" s="18" t="s">
        <v>2834</v>
      </c>
      <c r="B986" s="19" t="s">
        <v>2835</v>
      </c>
      <c r="C986" s="19" t="s">
        <v>2836</v>
      </c>
      <c r="D986" s="20">
        <v>4.9255586420000004</v>
      </c>
      <c r="E986" s="20">
        <v>10.27477460275</v>
      </c>
      <c r="F986" s="1">
        <v>7.0077483275028909</v>
      </c>
      <c r="G986" s="42" t="s">
        <v>187</v>
      </c>
      <c r="J986" s="44"/>
      <c r="K986" s="35">
        <v>0.89080000000000004</v>
      </c>
      <c r="L986" s="35">
        <v>4.41E-2</v>
      </c>
      <c r="M986" s="35">
        <v>0</v>
      </c>
      <c r="N986" s="21" t="s">
        <v>187</v>
      </c>
      <c r="Q986" s="22" t="s">
        <v>187</v>
      </c>
      <c r="R986" s="2"/>
      <c r="S986" s="2"/>
      <c r="T986" s="2"/>
      <c r="U986" s="34">
        <f t="shared" si="15"/>
        <v>0.89080000000000004</v>
      </c>
    </row>
    <row r="987" spans="1:21" x14ac:dyDescent="0.2">
      <c r="A987" s="18" t="s">
        <v>2837</v>
      </c>
      <c r="B987" s="19" t="s">
        <v>2838</v>
      </c>
      <c r="C987" s="19" t="s">
        <v>2839</v>
      </c>
      <c r="D987" s="20">
        <v>8.5087233879999999</v>
      </c>
      <c r="E987" s="20">
        <v>7.4217765220000009</v>
      </c>
      <c r="F987" s="1">
        <v>0.50336239389436122</v>
      </c>
      <c r="G987" s="42" t="s">
        <v>187</v>
      </c>
      <c r="J987" s="44"/>
      <c r="K987" s="35">
        <v>0.84970000000000001</v>
      </c>
      <c r="L987" s="35">
        <v>1.1000000000000001E-3</v>
      </c>
      <c r="M987" s="35">
        <v>0</v>
      </c>
      <c r="N987" s="21"/>
      <c r="Q987" s="22" t="s">
        <v>187</v>
      </c>
      <c r="R987" s="2"/>
      <c r="S987" s="2"/>
      <c r="T987" s="2"/>
      <c r="U987" s="34">
        <f t="shared" si="15"/>
        <v>0.84970000000000001</v>
      </c>
    </row>
    <row r="988" spans="1:21" ht="16" thickBot="1" x14ac:dyDescent="0.25">
      <c r="A988" s="26" t="s">
        <v>2840</v>
      </c>
      <c r="B988" s="27" t="s">
        <v>2841</v>
      </c>
      <c r="C988" s="27" t="s">
        <v>2842</v>
      </c>
      <c r="D988" s="28">
        <v>4.3524752267500002</v>
      </c>
      <c r="E988" s="28">
        <v>11.654389801500001</v>
      </c>
      <c r="F988" s="29">
        <v>1.5628055197547401</v>
      </c>
      <c r="G988" s="45" t="s">
        <v>187</v>
      </c>
      <c r="H988" s="46"/>
      <c r="I988" s="46"/>
      <c r="J988" s="47"/>
      <c r="K988" s="35">
        <v>0.84309999999999996</v>
      </c>
      <c r="L988" s="35">
        <v>0.1003</v>
      </c>
      <c r="M988" s="35">
        <v>0</v>
      </c>
      <c r="N988" s="30"/>
      <c r="O988" s="31"/>
      <c r="P988" s="31"/>
      <c r="Q988" s="33" t="s">
        <v>187</v>
      </c>
      <c r="R988" s="2"/>
      <c r="S988" s="2"/>
      <c r="T988" s="2"/>
      <c r="U988" s="34">
        <f t="shared" si="15"/>
        <v>0.84309999999999996</v>
      </c>
    </row>
    <row r="989" spans="1:21" ht="16" thickTop="1" x14ac:dyDescent="0.2"/>
  </sheetData>
  <autoFilter ref="A1:Q1" xr:uid="{00000000-0009-0000-0000-000000000000}"/>
  <conditionalFormatting sqref="U4:U966">
    <cfRule type="cellIs" dxfId="0" priority="1" operator="between">
      <formula>0.4</formula>
      <formula>0.5</formula>
    </cfRule>
  </conditionalFormatting>
  <pageMargins left="0.7" right="0.7" top="0.78740157499999996" bottom="0.78740157499999996" header="0.3" footer="0.3"/>
  <pageSetup paperSize="9" orientation="portrait"/>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63F4-B0E6-4249-85FE-1D9F1E3BB60F}">
  <dimension ref="A1"/>
  <sheetViews>
    <sheetView tabSelected="1" workbookViewId="0">
      <selection activeCell="H21" sqref="H21"/>
    </sheetView>
  </sheetViews>
  <sheetFormatPr baseColWidth="10" defaultRowHeight="15" x14ac:dyDescent="0.2"/>
  <sheetData>
    <row r="1" spans="1:1" x14ac:dyDescent="0.2">
      <c r="A1" s="50" t="s">
        <v>2848</v>
      </c>
    </row>
  </sheetData>
  <hyperlinks>
    <hyperlink ref="A1" r:id="rId1" location="Sec24 Landscape of submitochondrial protein distribution" xr:uid="{9D92CF22-7BDB-CE42-B6E9-DBFBD7470F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Supplementary Data 5</vt:lpstr>
      <vt:lpstr>Sheet1</vt:lpstr>
    </vt:vector>
  </TitlesOfParts>
  <Company>Your Organisation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Zahedi, Dr. Rene</dc:creator>
  <cp:lastModifiedBy>Hongzhong Lu</cp:lastModifiedBy>
  <dcterms:created xsi:type="dcterms:W3CDTF">2017-01-04T15:23:18Z</dcterms:created>
  <dcterms:modified xsi:type="dcterms:W3CDTF">2024-04-10T07:58:03Z</dcterms:modified>
</cp:coreProperties>
</file>